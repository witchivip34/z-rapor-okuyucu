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CE28" lockStructure="1"/>
  <bookViews>
    <workbookView visibility="visible" minimized="0" showHorizontalScroll="1" showVerticalScroll="1" showSheetTabs="1" xWindow="32760" yWindow="180" windowWidth="15360" windowHeight="7590" tabRatio="681" firstSheet="0" activeTab="0" autoFilterDateGrouping="1"/>
  </bookViews>
  <sheets>
    <sheet xmlns:r="http://schemas.openxmlformats.org/officeDocument/2006/relationships" name="MASRAF LİSTESİ" sheetId="1" state="visible" r:id="rId1"/>
    <sheet xmlns:r="http://schemas.openxmlformats.org/officeDocument/2006/relationships" name="AKARYAKIT MASRAF LİSTESİ" sheetId="2" state="visible" r:id="rId2"/>
    <sheet xmlns:r="http://schemas.openxmlformats.org/officeDocument/2006/relationships" name="MASRAF LİSTESİ 8-18" sheetId="3" state="visible" r:id="rId3"/>
  </sheets>
  <definedNames>
    <definedName name="_xlnm.Print_Area" localSheetId="0">'MASRAF LİSTESİ'!$B$1:$P$85</definedName>
    <definedName name="_xlnm.Print_Area" localSheetId="1">'AKARYAKIT MASRAF LİSTESİ'!$A$1:$J$94</definedName>
    <definedName name="_xlnm.Print_Area" localSheetId="2">'MASRAF LİSTESİ 8-18'!$B$1:$P$85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Arial Tur"/>
      <charset val="162"/>
      <sz val="10"/>
    </font>
    <font>
      <name val="Arial Tur"/>
      <charset val="162"/>
      <sz val="8"/>
    </font>
    <font>
      <name val="Arial"/>
      <charset val="162"/>
      <family val="2"/>
      <sz val="10"/>
    </font>
    <font>
      <name val="Arial Tur"/>
      <charset val="162"/>
      <b val="1"/>
      <sz val="10"/>
    </font>
    <font>
      <name val="Calibri"/>
      <charset val="162"/>
      <family val="2"/>
      <sz val="10"/>
    </font>
    <font>
      <name val="Calibri"/>
      <charset val="162"/>
      <family val="2"/>
      <b val="1"/>
      <sz val="11"/>
    </font>
    <font>
      <name val="Calibri"/>
      <charset val="162"/>
      <family val="2"/>
      <sz val="9"/>
    </font>
    <font>
      <name val="Calibri"/>
      <charset val="162"/>
      <family val="2"/>
      <b val="1"/>
      <sz val="10"/>
    </font>
    <font>
      <name val="Calibri"/>
      <charset val="162"/>
      <family val="2"/>
      <b val="1"/>
      <i val="1"/>
      <sz val="10"/>
    </font>
    <font>
      <name val="Calibri"/>
      <charset val="162"/>
      <family val="2"/>
      <sz val="11"/>
    </font>
    <font>
      <name val="Calibri"/>
      <charset val="162"/>
      <family val="2"/>
      <b val="1"/>
      <sz val="9"/>
    </font>
    <font>
      <name val="Arial Tur"/>
      <charset val="162"/>
      <sz val="9"/>
    </font>
    <font>
      <name val="Calibri"/>
      <charset val="162"/>
      <family val="2"/>
      <b val="1"/>
      <color rgb="FFFF0000"/>
      <sz val="9"/>
    </font>
    <font>
      <name val="Calibri"/>
      <charset val="162"/>
      <family val="2"/>
      <b val="1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8"/>
      </left>
      <right/>
      <top style="thick">
        <color indexed="8"/>
      </top>
      <bottom style="medium">
        <color indexed="64"/>
      </bottom>
      <diagonal/>
    </border>
    <border>
      <left/>
      <right/>
      <top style="thick">
        <color indexed="8"/>
      </top>
      <bottom style="medium">
        <color indexed="64"/>
      </bottom>
      <diagonal/>
    </border>
    <border>
      <left/>
      <right style="thick">
        <color indexed="8"/>
      </right>
      <top style="thick">
        <color indexed="8"/>
      </top>
      <bottom style="medium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</borders>
  <cellStyleXfs count="2">
    <xf numFmtId="0" fontId="0" fillId="0" borderId="0"/>
    <xf numFmtId="0" fontId="2" fillId="0" borderId="0"/>
  </cellStyleXfs>
  <cellXfs count="8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4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left" vertical="top"/>
    </xf>
    <xf numFmtId="4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1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1" fontId="6" fillId="0" borderId="4" applyAlignment="1" pivotButton="0" quotePrefix="0" xfId="0">
      <alignment horizontal="center" vertical="center"/>
    </xf>
    <xf numFmtId="14" fontId="6" fillId="0" borderId="0" pivotButton="0" quotePrefix="0" xfId="0"/>
    <xf numFmtId="14" fontId="5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top"/>
    </xf>
    <xf numFmtId="0" fontId="9" fillId="0" borderId="0" pivotButton="0" quotePrefix="0" xfId="0"/>
    <xf numFmtId="1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right" vertical="center"/>
    </xf>
    <xf numFmtId="14" fontId="6" fillId="0" borderId="4" pivotButton="0" quotePrefix="0" xfId="0"/>
    <xf numFmtId="0" fontId="6" fillId="0" borderId="4" pivotButton="0" quotePrefix="0" xfId="0"/>
    <xf numFmtId="2" fontId="6" fillId="0" borderId="4" pivotButton="0" quotePrefix="0" xfId="0"/>
    <xf numFmtId="4" fontId="12" fillId="0" borderId="4" applyAlignment="1" pivotButton="0" quotePrefix="0" xfId="0">
      <alignment horizontal="right" vertical="center"/>
    </xf>
    <xf numFmtId="2" fontId="6" fillId="0" borderId="4" applyAlignment="1" pivotButton="0" quotePrefix="0" xfId="0">
      <alignment horizontal="right" vertical="center"/>
    </xf>
    <xf numFmtId="4" fontId="10" fillId="0" borderId="4" applyAlignment="1" pivotButton="0" quotePrefix="0" xfId="0">
      <alignment horizontal="right" vertical="center"/>
    </xf>
    <xf numFmtId="49" fontId="6" fillId="0" borderId="4" applyAlignment="1" pivotButton="0" quotePrefix="0" xfId="0">
      <alignment horizontal="left" vertical="top"/>
    </xf>
    <xf numFmtId="1" fontId="6" fillId="0" borderId="5" applyAlignment="1" pivotButton="0" quotePrefix="0" xfId="0">
      <alignment horizontal="center" vertical="center"/>
    </xf>
    <xf numFmtId="14" fontId="6" fillId="0" borderId="6" applyAlignment="1" pivotButton="0" quotePrefix="0" xfId="0">
      <alignment horizontal="center" vertical="center"/>
    </xf>
    <xf numFmtId="1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top"/>
    </xf>
    <xf numFmtId="4" fontId="10" fillId="0" borderId="6" applyAlignment="1" pivotButton="0" quotePrefix="0" xfId="0">
      <alignment horizontal="center" vertical="center"/>
    </xf>
    <xf numFmtId="0" fontId="11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" fontId="10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14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1" fontId="10" fillId="0" borderId="4" applyAlignment="1" pivotButton="0" quotePrefix="0" xfId="0">
      <alignment horizontal="center" vertical="center"/>
    </xf>
    <xf numFmtId="14" fontId="10" fillId="0" borderId="4" applyAlignment="1" pivotButton="0" quotePrefix="0" xfId="0">
      <alignment horizontal="center" vertical="center"/>
    </xf>
    <xf numFmtId="49" fontId="10" fillId="0" borderId="4" applyAlignment="1" pivotButton="0" quotePrefix="0" xfId="0">
      <alignment horizontal="left" vertical="top"/>
    </xf>
    <xf numFmtId="49" fontId="6" fillId="0" borderId="4" applyAlignment="1" pivotButton="0" quotePrefix="1" xfId="0">
      <alignment horizontal="center" vertical="center"/>
    </xf>
    <xf numFmtId="49" fontId="6" fillId="0" borderId="4" applyAlignment="1" pivotButton="0" quotePrefix="0" xfId="0">
      <alignment horizontal="center" vertical="center"/>
    </xf>
    <xf numFmtId="4" fontId="13" fillId="0" borderId="4" applyAlignment="1" pivotButton="0" quotePrefix="0" xfId="0">
      <alignment vertical="center"/>
    </xf>
    <xf numFmtId="4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" fontId="12" fillId="0" borderId="4" applyAlignment="1" pivotButton="0" quotePrefix="0" xfId="0">
      <alignment horizontal="right" vertical="center"/>
    </xf>
    <xf numFmtId="4" fontId="10" fillId="0" borderId="6" applyAlignment="1" pivotButton="0" quotePrefix="0" xfId="0">
      <alignment horizontal="center" vertical="center"/>
    </xf>
    <xf numFmtId="14" fontId="6" fillId="0" borderId="4" pivotButton="0" quotePrefix="0" xfId="0"/>
    <xf numFmtId="0" fontId="6" fillId="0" borderId="4" pivotButton="0" quotePrefix="0" xfId="0"/>
    <xf numFmtId="14" fontId="5" fillId="0" borderId="0" applyAlignment="1" pivotButton="0" quotePrefix="0" xfId="0">
      <alignment horizontal="right" vertical="center"/>
    </xf>
    <xf numFmtId="1" fontId="4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right" vertical="center" wrapText="1"/>
    </xf>
    <xf numFmtId="49" fontId="6" fillId="0" borderId="4" applyAlignment="1" pivotButton="0" quotePrefix="0" xfId="0">
      <alignment horizontal="right" vertical="center"/>
    </xf>
    <xf numFmtId="1" fontId="6" fillId="0" borderId="6" applyAlignment="1" pivotButton="0" quotePrefix="0" xfId="0">
      <alignment horizontal="right" vertical="center"/>
    </xf>
    <xf numFmtId="1" fontId="4" fillId="0" borderId="0" applyAlignment="1" pivotButton="0" quotePrefix="0" xfId="0">
      <alignment horizontal="right" vertical="center"/>
    </xf>
    <xf numFmtId="9" fontId="7" fillId="2" borderId="7" applyAlignment="1" pivotButton="0" quotePrefix="0" xfId="0">
      <alignment horizontal="center" vertical="center"/>
    </xf>
    <xf numFmtId="9" fontId="7" fillId="2" borderId="8" applyAlignment="1" pivotButton="0" quotePrefix="0" xfId="0">
      <alignment horizontal="center" vertical="center"/>
    </xf>
    <xf numFmtId="9" fontId="7" fillId="2" borderId="9" applyAlignment="1" pivotButton="0" quotePrefix="0" xfId="0">
      <alignment horizontal="center" vertical="center"/>
    </xf>
    <xf numFmtId="10" fontId="7" fillId="0" borderId="7" applyAlignment="1" pivotButton="0" quotePrefix="0" xfId="0">
      <alignment horizontal="center" vertical="center"/>
    </xf>
    <xf numFmtId="10" fontId="7" fillId="0" borderId="9" applyAlignment="1" pivotButton="0" quotePrefix="0" xfId="0">
      <alignment horizontal="center" vertical="center"/>
    </xf>
    <xf numFmtId="9" fontId="7" fillId="2" borderId="10" applyAlignment="1" pivotButton="0" quotePrefix="0" xfId="0">
      <alignment horizontal="center" vertical="center"/>
    </xf>
    <xf numFmtId="9" fontId="7" fillId="2" borderId="11" applyAlignment="1" pivotButton="0" quotePrefix="0" xfId="0">
      <alignment horizontal="center" vertical="center"/>
    </xf>
    <xf numFmtId="9" fontId="7" fillId="2" borderId="12" applyAlignment="1" pivotButton="0" quotePrefix="0" xfId="0">
      <alignment horizontal="center" vertical="center"/>
    </xf>
    <xf numFmtId="9" fontId="7" fillId="2" borderId="1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0" fontId="7" fillId="0" borderId="13" applyAlignment="1" pivotButton="0" quotePrefix="0" xfId="0">
      <alignment horizontal="center" vertical="center"/>
    </xf>
    <xf numFmtId="9" fontId="7" fillId="2" borderId="1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93"/>
  <sheetViews>
    <sheetView tabSelected="1" workbookViewId="0">
      <selection activeCell="L5" sqref="L5"/>
    </sheetView>
  </sheetViews>
  <sheetFormatPr baseColWidth="8" defaultRowHeight="12.75"/>
  <cols>
    <col width="6.28515625" customWidth="1" style="20" min="1" max="1"/>
    <col width="5.28515625" bestFit="1" customWidth="1" style="18" min="2" max="2"/>
    <col width="16.85546875" customWidth="1" style="21" min="3" max="3"/>
    <col width="14.28515625" customWidth="1" style="64" min="4" max="4"/>
    <col width="28.140625" bestFit="1" customWidth="1" style="22" min="5" max="5"/>
    <col width="7" bestFit="1" customWidth="1" style="5" min="6" max="6"/>
    <col width="8.140625" bestFit="1" customWidth="1" style="5" min="7" max="8"/>
    <col width="10" bestFit="1" customWidth="1" style="5" min="9" max="9"/>
    <col width="11.5703125" bestFit="1" customWidth="1" style="5" min="10" max="10"/>
    <col width="11.85546875" bestFit="1" customWidth="1" style="5" min="11" max="11"/>
    <col width="9.140625" bestFit="1" customWidth="1" style="5" min="12" max="12"/>
    <col width="9.7109375" bestFit="1" customWidth="1" style="5" min="13" max="13"/>
    <col width="9.42578125" bestFit="1" customWidth="1" style="5" min="14" max="14"/>
    <col width="11.5703125" bestFit="1" customWidth="1" style="5" min="15" max="16"/>
    <col width="9.140625" customWidth="1" style="20" min="17" max="17"/>
    <col width="9.85546875" bestFit="1" customWidth="1" style="20" min="18" max="18"/>
    <col width="9.140625" customWidth="1" style="20" min="19" max="16384"/>
  </cols>
  <sheetData>
    <row r="2" ht="15.75" customFormat="1" customHeight="1" s="23" thickBot="1">
      <c r="B2" s="24" t="n"/>
      <c r="C2" s="15" t="inlineStr">
        <is>
          <t>HAZIRLAYAN:</t>
        </is>
      </c>
      <c r="D2" s="59" t="n"/>
      <c r="E2" s="4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</row>
    <row r="3" ht="14.25" customHeight="1" thickBot="1" thickTop="1">
      <c r="B3" s="16" t="n"/>
      <c r="C3" s="21" t="n"/>
      <c r="D3" s="64" t="n"/>
      <c r="E3" s="22" t="n"/>
      <c r="F3" s="73" t="n">
        <v>0.01</v>
      </c>
      <c r="G3" s="74" t="n"/>
      <c r="H3" s="75" t="n"/>
      <c r="I3" s="73" t="n">
        <v>0.1</v>
      </c>
      <c r="J3" s="74" t="n"/>
      <c r="K3" s="75" t="n"/>
      <c r="L3" s="73" t="n">
        <v>0.2</v>
      </c>
      <c r="M3" s="74" t="n"/>
      <c r="N3" s="75" t="n"/>
      <c r="O3" s="76" t="inlineStr">
        <is>
          <t>GENEL TOPLAM</t>
        </is>
      </c>
      <c r="P3" s="75" t="n"/>
    </row>
    <row r="4" ht="25.5" customHeight="1">
      <c r="A4" s="20" t="n"/>
      <c r="B4" s="8" t="inlineStr">
        <is>
          <t>Sıra No</t>
        </is>
      </c>
      <c r="C4" s="9" t="inlineStr">
        <is>
          <t xml:space="preserve"> Tarih</t>
        </is>
      </c>
      <c r="D4" s="61" t="inlineStr">
        <is>
          <t>Sıra No</t>
        </is>
      </c>
      <c r="E4" s="11" t="inlineStr">
        <is>
          <t>Satıcının Adı-Soyadı / Ünvanı</t>
        </is>
      </c>
      <c r="F4" s="11" t="inlineStr">
        <is>
          <t>Kdv %01</t>
        </is>
      </c>
      <c r="G4" s="11" t="inlineStr">
        <is>
          <t>Matrah %01</t>
        </is>
      </c>
      <c r="H4" s="11" t="inlineStr">
        <is>
          <t>Toplam
%01</t>
        </is>
      </c>
      <c r="I4" s="11" t="inlineStr">
        <is>
          <t>Kdv %10</t>
        </is>
      </c>
      <c r="J4" s="11" t="inlineStr">
        <is>
          <t>Matrah %10</t>
        </is>
      </c>
      <c r="K4" s="11" t="inlineStr">
        <is>
          <t>Toplam
%10</t>
        </is>
      </c>
      <c r="L4" s="11" t="inlineStr">
        <is>
          <t>Kdv %20</t>
        </is>
      </c>
      <c r="M4" s="11" t="inlineStr">
        <is>
          <t>Matrah %20</t>
        </is>
      </c>
      <c r="N4" s="11" t="inlineStr">
        <is>
          <t>Toplam
%20</t>
        </is>
      </c>
      <c r="O4" s="11" t="inlineStr">
        <is>
          <t>MATRAH</t>
        </is>
      </c>
      <c r="P4" s="12" t="inlineStr">
        <is>
          <t>GENEL</t>
        </is>
      </c>
    </row>
    <row r="5" ht="12" customFormat="1" customHeight="1" s="7">
      <c r="A5" s="7" t="n"/>
      <c r="B5" s="13" t="n">
        <v>1</v>
      </c>
      <c r="C5" s="14" t="n"/>
      <c r="D5" s="7" t="n"/>
      <c r="E5" s="7" t="n"/>
      <c r="F5" s="28" t="n"/>
      <c r="G5" s="55">
        <f>F5/0.01</f>
        <v/>
      </c>
      <c r="H5" s="55">
        <f>G5*1.01</f>
        <v/>
      </c>
      <c r="I5" s="28" t="n"/>
      <c r="J5" s="55">
        <f>I5/0.1</f>
        <v/>
      </c>
      <c r="K5" s="55">
        <f>J5*1.1</f>
        <v/>
      </c>
      <c r="L5" s="30" t="n"/>
      <c r="M5" s="55">
        <f>L5/0.2</f>
        <v/>
      </c>
      <c r="N5" s="55">
        <f>M5*1.2</f>
        <v/>
      </c>
      <c r="O5" s="31">
        <f>G5+J5+M5</f>
        <v/>
      </c>
      <c r="P5" s="31">
        <f>H5+K5+N5</f>
        <v/>
      </c>
    </row>
    <row r="6" ht="12" customFormat="1" customHeight="1" s="7">
      <c r="A6" s="7" t="n"/>
      <c r="B6" s="13" t="n">
        <v>2</v>
      </c>
      <c r="C6" s="57" t="n"/>
      <c r="D6" s="62" t="n"/>
      <c r="E6" s="58" t="n"/>
      <c r="F6" s="30" t="n"/>
      <c r="G6" s="55">
        <f>F6/0.01</f>
        <v/>
      </c>
      <c r="H6" s="55">
        <f>G6*1.01</f>
        <v/>
      </c>
      <c r="I6" s="28" t="n"/>
      <c r="J6" s="55">
        <f>I6/0.1</f>
        <v/>
      </c>
      <c r="K6" s="55">
        <f>J6*1.1</f>
        <v/>
      </c>
      <c r="L6" s="30" t="n"/>
      <c r="M6" s="55">
        <f>L6/0.2</f>
        <v/>
      </c>
      <c r="N6" s="55">
        <f>M6*1.2</f>
        <v/>
      </c>
      <c r="O6" s="31">
        <f>G6+J6+M6</f>
        <v/>
      </c>
      <c r="P6" s="31">
        <f>H6+K6+N6</f>
        <v/>
      </c>
      <c r="R6" s="14" t="n"/>
    </row>
    <row r="7" ht="12" customFormat="1" customHeight="1" s="7">
      <c r="A7" s="7" t="n"/>
      <c r="B7" s="13" t="n">
        <v>3</v>
      </c>
      <c r="C7" s="57" t="n"/>
      <c r="D7" s="62" t="n"/>
      <c r="E7" s="58" t="n"/>
      <c r="F7" s="30" t="n"/>
      <c r="G7" s="55">
        <f>F7/0.01</f>
        <v/>
      </c>
      <c r="H7" s="55">
        <f>G7*1.01</f>
        <v/>
      </c>
      <c r="I7" s="28" t="n"/>
      <c r="J7" s="55">
        <f>I7/0.1</f>
        <v/>
      </c>
      <c r="K7" s="55">
        <f>J7*1.1</f>
        <v/>
      </c>
      <c r="L7" s="30" t="n"/>
      <c r="M7" s="55">
        <f>L7/0.2</f>
        <v/>
      </c>
      <c r="N7" s="55">
        <f>M7*1.2</f>
        <v/>
      </c>
      <c r="O7" s="31">
        <f>G7+J7+M7</f>
        <v/>
      </c>
      <c r="P7" s="31">
        <f>H7+K7+N7</f>
        <v/>
      </c>
    </row>
    <row r="8" ht="12" customFormat="1" customHeight="1" s="7">
      <c r="A8" s="7" t="n"/>
      <c r="B8" s="13" t="n">
        <v>4</v>
      </c>
      <c r="C8" s="57" t="n"/>
      <c r="D8" s="62" t="n"/>
      <c r="E8" s="58" t="n"/>
      <c r="F8" s="30" t="n"/>
      <c r="G8" s="55">
        <f>F8/0.01</f>
        <v/>
      </c>
      <c r="H8" s="55">
        <f>G8*1.01</f>
        <v/>
      </c>
      <c r="I8" s="28" t="n"/>
      <c r="J8" s="55">
        <f>I8/0.1</f>
        <v/>
      </c>
      <c r="K8" s="55">
        <f>J8*1.1</f>
        <v/>
      </c>
      <c r="L8" s="30" t="n"/>
      <c r="M8" s="55">
        <f>L8/0.2</f>
        <v/>
      </c>
      <c r="N8" s="55">
        <f>M8*1.2</f>
        <v/>
      </c>
      <c r="O8" s="31">
        <f>G8+J8+M8</f>
        <v/>
      </c>
      <c r="P8" s="31">
        <f>H8+K8+N8</f>
        <v/>
      </c>
    </row>
    <row r="9" ht="12" customFormat="1" customHeight="1" s="7">
      <c r="A9" s="7" t="n"/>
      <c r="B9" s="13" t="n">
        <v>5</v>
      </c>
      <c r="C9" s="57" t="n"/>
      <c r="D9" s="62" t="n"/>
      <c r="E9" s="58" t="n"/>
      <c r="F9" s="30" t="n"/>
      <c r="G9" s="55">
        <f>F9/0.01</f>
        <v/>
      </c>
      <c r="H9" s="55">
        <f>G9*1.01</f>
        <v/>
      </c>
      <c r="I9" s="28" t="n"/>
      <c r="J9" s="55">
        <f>I9/0.1</f>
        <v/>
      </c>
      <c r="K9" s="55">
        <f>J9*1.1</f>
        <v/>
      </c>
      <c r="L9" s="30" t="n"/>
      <c r="M9" s="55">
        <f>L9/0.2</f>
        <v/>
      </c>
      <c r="N9" s="55">
        <f>M9*1.2</f>
        <v/>
      </c>
      <c r="O9" s="31">
        <f>G9+J9+M9</f>
        <v/>
      </c>
      <c r="P9" s="31">
        <f>H9+K9+N9</f>
        <v/>
      </c>
    </row>
    <row r="10" ht="12" customFormat="1" customHeight="1" s="7">
      <c r="A10" s="7" t="n"/>
      <c r="B10" s="13" t="n">
        <v>6</v>
      </c>
      <c r="C10" s="57" t="n"/>
      <c r="D10" s="62" t="n"/>
      <c r="E10" s="58" t="n"/>
      <c r="F10" s="30" t="n"/>
      <c r="G10" s="55">
        <f>F10</f>
        <v/>
      </c>
      <c r="H10" s="55">
        <f>G10*1.01</f>
        <v/>
      </c>
      <c r="I10" s="28" t="n"/>
      <c r="J10" s="55">
        <f>I10/0.1</f>
        <v/>
      </c>
      <c r="K10" s="55">
        <f>J10*1.1</f>
        <v/>
      </c>
      <c r="L10" s="30" t="n"/>
      <c r="M10" s="55">
        <f>L10/0.2</f>
        <v/>
      </c>
      <c r="N10" s="55">
        <f>M10*1.2</f>
        <v/>
      </c>
      <c r="O10" s="31">
        <f>G10+J10+M10</f>
        <v/>
      </c>
      <c r="P10" s="31">
        <f>H10+K10+N10</f>
        <v/>
      </c>
    </row>
    <row r="11" ht="12" customFormat="1" customHeight="1" s="7">
      <c r="A11" s="7" t="n"/>
      <c r="B11" s="13" t="n">
        <v>7</v>
      </c>
      <c r="C11" s="57" t="n"/>
      <c r="D11" s="62" t="n"/>
      <c r="E11" s="58" t="n"/>
      <c r="F11" s="30" t="n"/>
      <c r="G11" s="55">
        <f>F11/0.01</f>
        <v/>
      </c>
      <c r="H11" s="55">
        <f>G11*1.01</f>
        <v/>
      </c>
      <c r="I11" s="28" t="n"/>
      <c r="J11" s="55">
        <f>I11/0.1</f>
        <v/>
      </c>
      <c r="K11" s="55">
        <f>J11*1.1</f>
        <v/>
      </c>
      <c r="L11" s="30" t="n"/>
      <c r="M11" s="55">
        <f>L11/0.2</f>
        <v/>
      </c>
      <c r="N11" s="55">
        <f>M11*1.2</f>
        <v/>
      </c>
      <c r="O11" s="31">
        <f>G11+J11+M11</f>
        <v/>
      </c>
      <c r="P11" s="31">
        <f>H11+K11+N11</f>
        <v/>
      </c>
    </row>
    <row r="12" ht="12" customFormat="1" customHeight="1" s="7">
      <c r="A12" s="7" t="n"/>
      <c r="B12" s="13" t="n">
        <v>8</v>
      </c>
      <c r="C12" s="57" t="n"/>
      <c r="D12" s="62" t="n"/>
      <c r="E12" s="58" t="n"/>
      <c r="F12" s="30" t="n"/>
      <c r="G12" s="55">
        <f>F12/0.01</f>
        <v/>
      </c>
      <c r="H12" s="55">
        <f>G12*1.01</f>
        <v/>
      </c>
      <c r="I12" s="28" t="n"/>
      <c r="J12" s="55">
        <f>I12/0.1</f>
        <v/>
      </c>
      <c r="K12" s="55">
        <f>J12*1.1</f>
        <v/>
      </c>
      <c r="L12" s="30" t="n"/>
      <c r="M12" s="55">
        <f>L12/0.2</f>
        <v/>
      </c>
      <c r="N12" s="55">
        <f>M12*1.2</f>
        <v/>
      </c>
      <c r="O12" s="31">
        <f>G12+J12+M12</f>
        <v/>
      </c>
      <c r="P12" s="31">
        <f>H12+K12+N12</f>
        <v/>
      </c>
    </row>
    <row r="13" ht="11.25" customFormat="1" customHeight="1" s="7">
      <c r="A13" s="7" t="n"/>
      <c r="B13" s="13" t="n">
        <v>9</v>
      </c>
      <c r="C13" s="57" t="n"/>
      <c r="D13" s="62" t="n"/>
      <c r="E13" s="58" t="n"/>
      <c r="F13" s="30" t="n"/>
      <c r="G13" s="55">
        <f>F13/0.01</f>
        <v/>
      </c>
      <c r="H13" s="55">
        <f>G13*1.01</f>
        <v/>
      </c>
      <c r="I13" s="28" t="n"/>
      <c r="J13" s="55">
        <f>I13/0.1</f>
        <v/>
      </c>
      <c r="K13" s="55">
        <f>J13*1.1</f>
        <v/>
      </c>
      <c r="L13" s="30" t="n"/>
      <c r="M13" s="55">
        <f>L13/0.2</f>
        <v/>
      </c>
      <c r="N13" s="55">
        <f>M13*1.2</f>
        <v/>
      </c>
      <c r="O13" s="31">
        <f>G13+J13+M13</f>
        <v/>
      </c>
      <c r="P13" s="31">
        <f>H13+K13+N13</f>
        <v/>
      </c>
    </row>
    <row r="14" ht="12.75" customFormat="1" customHeight="1" s="7">
      <c r="A14" s="7" t="n"/>
      <c r="B14" s="13" t="n">
        <v>10</v>
      </c>
      <c r="C14" s="57" t="n"/>
      <c r="D14" s="62" t="n"/>
      <c r="E14" s="58" t="n"/>
      <c r="F14" s="30" t="n"/>
      <c r="G14" s="55">
        <f>F14/0.01</f>
        <v/>
      </c>
      <c r="H14" s="55">
        <f>G14*1.01</f>
        <v/>
      </c>
      <c r="I14" s="28" t="n"/>
      <c r="J14" s="55">
        <f>I14/0.1</f>
        <v/>
      </c>
      <c r="K14" s="55">
        <f>J14*1.1</f>
        <v/>
      </c>
      <c r="L14" s="30" t="n"/>
      <c r="M14" s="55">
        <f>L14/0.2</f>
        <v/>
      </c>
      <c r="N14" s="55">
        <f>M14*1.2</f>
        <v/>
      </c>
      <c r="O14" s="31">
        <f>G14+J14+M14</f>
        <v/>
      </c>
      <c r="P14" s="31">
        <f>H14+K14+N14</f>
        <v/>
      </c>
    </row>
    <row r="15" ht="12" customFormat="1" customHeight="1" s="7">
      <c r="A15" s="7" t="n"/>
      <c r="B15" s="13" t="n">
        <v>11</v>
      </c>
      <c r="C15" s="57" t="n"/>
      <c r="D15" s="62" t="n"/>
      <c r="E15" s="58" t="n"/>
      <c r="F15" s="30" t="n"/>
      <c r="G15" s="55">
        <f>F15/0.01</f>
        <v/>
      </c>
      <c r="H15" s="55">
        <f>G15*1.01</f>
        <v/>
      </c>
      <c r="I15" s="28" t="n"/>
      <c r="J15" s="55">
        <f>I15/0.1</f>
        <v/>
      </c>
      <c r="K15" s="55">
        <f>J15*1.1</f>
        <v/>
      </c>
      <c r="L15" s="30" t="n"/>
      <c r="M15" s="55">
        <f>L15/0.2</f>
        <v/>
      </c>
      <c r="N15" s="55">
        <f>M15*1.2</f>
        <v/>
      </c>
      <c r="O15" s="31">
        <f>G15+J15+M15</f>
        <v/>
      </c>
      <c r="P15" s="31">
        <f>H15+K15+N15</f>
        <v/>
      </c>
    </row>
    <row r="16" ht="12" customFormat="1" customHeight="1" s="7">
      <c r="A16" s="7" t="n"/>
      <c r="B16" s="13" t="n">
        <v>12</v>
      </c>
      <c r="C16" s="57" t="n"/>
      <c r="D16" s="62" t="n"/>
      <c r="E16" s="58" t="n"/>
      <c r="F16" s="30" t="n"/>
      <c r="G16" s="55">
        <f>F16/0.01</f>
        <v/>
      </c>
      <c r="H16" s="55">
        <f>G16*1.01</f>
        <v/>
      </c>
      <c r="I16" s="28" t="n"/>
      <c r="J16" s="55">
        <f>I16/0.1</f>
        <v/>
      </c>
      <c r="K16" s="55">
        <f>J16*1.1</f>
        <v/>
      </c>
      <c r="L16" s="30" t="n"/>
      <c r="M16" s="55">
        <f>L16/0.2</f>
        <v/>
      </c>
      <c r="N16" s="55">
        <f>M16*1.2</f>
        <v/>
      </c>
      <c r="O16" s="31">
        <f>G16+J16+M16</f>
        <v/>
      </c>
      <c r="P16" s="31">
        <f>H16+K16+N16</f>
        <v/>
      </c>
    </row>
    <row r="17" ht="12" customFormat="1" customHeight="1" s="7">
      <c r="A17" s="7" t="n"/>
      <c r="B17" s="13" t="n">
        <v>13</v>
      </c>
      <c r="C17" s="57" t="n"/>
      <c r="D17" s="62" t="n"/>
      <c r="E17" s="58" t="n"/>
      <c r="F17" s="30" t="n"/>
      <c r="G17" s="55">
        <f>F17/0.01</f>
        <v/>
      </c>
      <c r="H17" s="55">
        <f>G17*1.01</f>
        <v/>
      </c>
      <c r="I17" s="28" t="n"/>
      <c r="J17" s="55">
        <f>I17/0.1</f>
        <v/>
      </c>
      <c r="K17" s="55">
        <f>J17*1.1</f>
        <v/>
      </c>
      <c r="L17" s="30" t="n"/>
      <c r="M17" s="55">
        <f>L17/0.2</f>
        <v/>
      </c>
      <c r="N17" s="55">
        <f>M17*1.2</f>
        <v/>
      </c>
      <c r="O17" s="31">
        <f>G17+J17+M17</f>
        <v/>
      </c>
      <c r="P17" s="31">
        <f>H17+K17+N17</f>
        <v/>
      </c>
    </row>
    <row r="18" ht="13.5" customFormat="1" customHeight="1" s="7">
      <c r="A18" s="7" t="n"/>
      <c r="B18" s="13" t="n">
        <v>14</v>
      </c>
      <c r="C18" s="57" t="n"/>
      <c r="D18" s="62" t="n"/>
      <c r="E18" s="58" t="n"/>
      <c r="F18" s="30" t="n"/>
      <c r="G18" s="55">
        <f>F18/0.01</f>
        <v/>
      </c>
      <c r="H18" s="55">
        <f>G18*1.01</f>
        <v/>
      </c>
      <c r="I18" s="28" t="n"/>
      <c r="J18" s="55">
        <f>I18/0.1</f>
        <v/>
      </c>
      <c r="K18" s="55">
        <f>J18*1.1</f>
        <v/>
      </c>
      <c r="L18" s="30" t="n"/>
      <c r="M18" s="55">
        <f>L18/0.2</f>
        <v/>
      </c>
      <c r="N18" s="55">
        <f>M18*1.2</f>
        <v/>
      </c>
      <c r="O18" s="31">
        <f>G18+J18+M18</f>
        <v/>
      </c>
      <c r="P18" s="31">
        <f>H18+K18+N18</f>
        <v/>
      </c>
    </row>
    <row r="19" ht="12" customFormat="1" customHeight="1" s="7">
      <c r="A19" s="7" t="n"/>
      <c r="B19" s="13" t="n">
        <v>15</v>
      </c>
      <c r="C19" s="57" t="n"/>
      <c r="D19" s="62" t="n"/>
      <c r="E19" s="58" t="n"/>
      <c r="F19" s="30" t="n"/>
      <c r="G19" s="55">
        <f>F19/0.01</f>
        <v/>
      </c>
      <c r="H19" s="55">
        <f>G19*1.01</f>
        <v/>
      </c>
      <c r="I19" s="28" t="n"/>
      <c r="J19" s="55">
        <f>I19/0.1</f>
        <v/>
      </c>
      <c r="K19" s="55">
        <f>J19*1.1</f>
        <v/>
      </c>
      <c r="L19" s="30" t="n"/>
      <c r="M19" s="55">
        <f>L19/0.2</f>
        <v/>
      </c>
      <c r="N19" s="55">
        <f>M19*1.2</f>
        <v/>
      </c>
      <c r="O19" s="31">
        <f>G19+J19+M19</f>
        <v/>
      </c>
      <c r="P19" s="31">
        <f>H19+K19+N19</f>
        <v/>
      </c>
    </row>
    <row r="20" ht="12" customFormat="1" customHeight="1" s="7">
      <c r="A20" s="7" t="n"/>
      <c r="B20" s="13" t="n">
        <v>16</v>
      </c>
      <c r="C20" s="57" t="n"/>
      <c r="D20" s="62" t="n"/>
      <c r="E20" s="58" t="n"/>
      <c r="F20" s="30" t="n"/>
      <c r="G20" s="55">
        <f>F20/0.01</f>
        <v/>
      </c>
      <c r="H20" s="55">
        <f>G20*1.01</f>
        <v/>
      </c>
      <c r="I20" s="28" t="n"/>
      <c r="J20" s="55">
        <f>I20/0.1</f>
        <v/>
      </c>
      <c r="K20" s="55">
        <f>J20*1.1</f>
        <v/>
      </c>
      <c r="L20" s="30" t="n"/>
      <c r="M20" s="55">
        <f>L20/0.2</f>
        <v/>
      </c>
      <c r="N20" s="55">
        <f>M20*1.2</f>
        <v/>
      </c>
      <c r="O20" s="31">
        <f>G20+J20+M20</f>
        <v/>
      </c>
      <c r="P20" s="31">
        <f>H20+K20+N20</f>
        <v/>
      </c>
    </row>
    <row r="21" ht="12.75" customFormat="1" customHeight="1" s="7">
      <c r="A21" s="7" t="n"/>
      <c r="B21" s="13" t="n">
        <v>17</v>
      </c>
      <c r="C21" s="57" t="n"/>
      <c r="D21" s="62" t="n"/>
      <c r="E21" s="58" t="n"/>
      <c r="F21" s="30" t="n"/>
      <c r="G21" s="55">
        <f>F21/0.01</f>
        <v/>
      </c>
      <c r="H21" s="55">
        <f>G21*1.01</f>
        <v/>
      </c>
      <c r="I21" s="28" t="n"/>
      <c r="J21" s="55">
        <f>I21/0.1</f>
        <v/>
      </c>
      <c r="K21" s="55">
        <f>J21*1.1</f>
        <v/>
      </c>
      <c r="L21" s="30" t="n"/>
      <c r="M21" s="55">
        <f>L21/0.2</f>
        <v/>
      </c>
      <c r="N21" s="55">
        <f>M21*1.2</f>
        <v/>
      </c>
      <c r="O21" s="31">
        <f>G21+J21+M21</f>
        <v/>
      </c>
      <c r="P21" s="31">
        <f>H21+K21+N21</f>
        <v/>
      </c>
    </row>
    <row r="22" ht="12" customFormat="1" customHeight="1" s="7">
      <c r="A22" s="7" t="n"/>
      <c r="B22" s="13" t="n">
        <v>18</v>
      </c>
      <c r="C22" s="57" t="n"/>
      <c r="D22" s="62" t="n"/>
      <c r="E22" s="58" t="n"/>
      <c r="F22" s="28" t="n"/>
      <c r="G22" s="55">
        <f>F22/0.01</f>
        <v/>
      </c>
      <c r="H22" s="55">
        <f>G22*1.01</f>
        <v/>
      </c>
      <c r="I22" s="28" t="n"/>
      <c r="J22" s="55">
        <f>I22/0.1</f>
        <v/>
      </c>
      <c r="K22" s="55">
        <f>J22*1.1</f>
        <v/>
      </c>
      <c r="L22" s="30" t="n"/>
      <c r="M22" s="55">
        <f>L22/0.2</f>
        <v/>
      </c>
      <c r="N22" s="55">
        <f>M22*1.2</f>
        <v/>
      </c>
      <c r="O22" s="31">
        <f>G22+J22+M22</f>
        <v/>
      </c>
      <c r="P22" s="31">
        <f>H22+K22+N22</f>
        <v/>
      </c>
    </row>
    <row r="23" ht="12" customFormat="1" customHeight="1" s="7">
      <c r="A23" s="7" t="n"/>
      <c r="B23" s="13" t="n">
        <v>19</v>
      </c>
      <c r="C23" s="57" t="n"/>
      <c r="D23" s="62" t="n"/>
      <c r="E23" s="58" t="n"/>
      <c r="F23" s="30" t="n"/>
      <c r="G23" s="55">
        <f>F23/0.01</f>
        <v/>
      </c>
      <c r="H23" s="55">
        <f>G23*1.01</f>
        <v/>
      </c>
      <c r="I23" s="28" t="n"/>
      <c r="J23" s="55">
        <f>I23/0.1</f>
        <v/>
      </c>
      <c r="K23" s="55">
        <f>J23*1.1</f>
        <v/>
      </c>
      <c r="L23" s="30" t="n"/>
      <c r="M23" s="55">
        <f>L23/0.2</f>
        <v/>
      </c>
      <c r="N23" s="55">
        <f>M23*1.2</f>
        <v/>
      </c>
      <c r="O23" s="31">
        <f>G23+J23+M23</f>
        <v/>
      </c>
      <c r="P23" s="31">
        <f>H23+K23+N23</f>
        <v/>
      </c>
    </row>
    <row r="24" ht="12" customFormat="1" customHeight="1" s="7">
      <c r="A24" s="7" t="n"/>
      <c r="B24" s="13" t="n">
        <v>20</v>
      </c>
      <c r="C24" s="57" t="n"/>
      <c r="D24" s="62" t="n"/>
      <c r="E24" s="58" t="n"/>
      <c r="F24" s="30" t="n"/>
      <c r="G24" s="55">
        <f>F24/0.01</f>
        <v/>
      </c>
      <c r="H24" s="55">
        <f>G24*1.01</f>
        <v/>
      </c>
      <c r="I24" s="28" t="n"/>
      <c r="J24" s="55">
        <f>I24/0.1</f>
        <v/>
      </c>
      <c r="K24" s="55">
        <f>J24*1.1</f>
        <v/>
      </c>
      <c r="L24" s="30" t="n"/>
      <c r="M24" s="55">
        <f>L24/0.2</f>
        <v/>
      </c>
      <c r="N24" s="55">
        <f>M24*1.2</f>
        <v/>
      </c>
      <c r="O24" s="31">
        <f>G24+J24+M24</f>
        <v/>
      </c>
      <c r="P24" s="31">
        <f>H24+K24+N24</f>
        <v/>
      </c>
    </row>
    <row r="25" ht="12" customFormat="1" customHeight="1" s="7">
      <c r="A25" s="7" t="n"/>
      <c r="B25" s="13" t="n">
        <v>21</v>
      </c>
      <c r="C25" s="57" t="n"/>
      <c r="D25" s="62" t="n"/>
      <c r="E25" s="58" t="n"/>
      <c r="F25" s="30" t="n"/>
      <c r="G25" s="55">
        <f>F25/0.01</f>
        <v/>
      </c>
      <c r="H25" s="55">
        <f>G25*1.01</f>
        <v/>
      </c>
      <c r="I25" s="28" t="n"/>
      <c r="J25" s="55">
        <f>I25/0.1</f>
        <v/>
      </c>
      <c r="K25" s="55">
        <f>J25*1.1</f>
        <v/>
      </c>
      <c r="L25" s="30" t="n"/>
      <c r="M25" s="55">
        <f>L25/0.2</f>
        <v/>
      </c>
      <c r="N25" s="55">
        <f>M25*1.2</f>
        <v/>
      </c>
      <c r="O25" s="31">
        <f>G25+J25+M25</f>
        <v/>
      </c>
      <c r="P25" s="31">
        <f>H25+K25+N25</f>
        <v/>
      </c>
    </row>
    <row r="26" ht="12" customFormat="1" customHeight="1" s="7">
      <c r="A26" s="7" t="n"/>
      <c r="B26" s="13" t="n">
        <v>22</v>
      </c>
      <c r="C26" s="57" t="n"/>
      <c r="D26" s="62" t="n"/>
      <c r="E26" s="58" t="n"/>
      <c r="F26" s="30" t="n"/>
      <c r="G26" s="55">
        <f>F26/0.01</f>
        <v/>
      </c>
      <c r="H26" s="55">
        <f>G26*1.01</f>
        <v/>
      </c>
      <c r="I26" s="28" t="n"/>
      <c r="J26" s="55">
        <f>I26/0.1</f>
        <v/>
      </c>
      <c r="K26" s="55">
        <f>J26*1.1</f>
        <v/>
      </c>
      <c r="L26" s="30" t="n"/>
      <c r="M26" s="55">
        <f>L26/0.2</f>
        <v/>
      </c>
      <c r="N26" s="55">
        <f>M26*1.2</f>
        <v/>
      </c>
      <c r="O26" s="31">
        <f>G26+J26+M26</f>
        <v/>
      </c>
      <c r="P26" s="31">
        <f>H26+K26+N26</f>
        <v/>
      </c>
    </row>
    <row r="27" ht="12" customFormat="1" customHeight="1" s="7">
      <c r="A27" s="7" t="n"/>
      <c r="B27" s="13" t="n">
        <v>23</v>
      </c>
      <c r="C27" s="57" t="n"/>
      <c r="D27" s="62" t="n"/>
      <c r="E27" s="58" t="n"/>
      <c r="F27" s="30" t="n"/>
      <c r="G27" s="55">
        <f>F27/0.01</f>
        <v/>
      </c>
      <c r="H27" s="55">
        <f>G27*1.01</f>
        <v/>
      </c>
      <c r="I27" s="28" t="n"/>
      <c r="J27" s="55">
        <f>I27/0.1</f>
        <v/>
      </c>
      <c r="K27" s="55">
        <f>J27*1.1</f>
        <v/>
      </c>
      <c r="L27" s="30" t="n"/>
      <c r="M27" s="55">
        <f>L27/0.2</f>
        <v/>
      </c>
      <c r="N27" s="55">
        <f>M27*1.2</f>
        <v/>
      </c>
      <c r="O27" s="31">
        <f>G27+J27+M27</f>
        <v/>
      </c>
      <c r="P27" s="31">
        <f>H27+K27+N27</f>
        <v/>
      </c>
    </row>
    <row r="28" ht="12" customFormat="1" customHeight="1" s="7">
      <c r="A28" s="7" t="n"/>
      <c r="B28" s="13" t="n">
        <v>24</v>
      </c>
      <c r="C28" s="57" t="n"/>
      <c r="D28" s="62" t="n"/>
      <c r="E28" s="58" t="n"/>
      <c r="F28" s="30" t="n"/>
      <c r="G28" s="55">
        <f>F28/0.01</f>
        <v/>
      </c>
      <c r="H28" s="55">
        <f>G28*1.01</f>
        <v/>
      </c>
      <c r="I28" s="28" t="n"/>
      <c r="J28" s="55">
        <f>I28/0.1</f>
        <v/>
      </c>
      <c r="K28" s="55">
        <f>J28*1.1</f>
        <v/>
      </c>
      <c r="L28" s="30" t="n"/>
      <c r="M28" s="55">
        <f>L28/0.2</f>
        <v/>
      </c>
      <c r="N28" s="55">
        <f>M28*1.2</f>
        <v/>
      </c>
      <c r="O28" s="31">
        <f>G28+J28+M28</f>
        <v/>
      </c>
      <c r="P28" s="31">
        <f>H28+K28+N28</f>
        <v/>
      </c>
    </row>
    <row r="29" ht="12" customFormat="1" customHeight="1" s="7">
      <c r="A29" s="7" t="n"/>
      <c r="B29" s="13" t="n">
        <v>25</v>
      </c>
      <c r="C29" s="57" t="n"/>
      <c r="D29" s="62" t="n"/>
      <c r="E29" s="58" t="n"/>
      <c r="F29" s="30" t="n"/>
      <c r="G29" s="55">
        <f>F29/0.01</f>
        <v/>
      </c>
      <c r="H29" s="55">
        <f>G29*1.01</f>
        <v/>
      </c>
      <c r="I29" s="28" t="n"/>
      <c r="J29" s="55">
        <f>I29/0.1</f>
        <v/>
      </c>
      <c r="K29" s="55">
        <f>J29*1.1</f>
        <v/>
      </c>
      <c r="L29" s="30" t="n"/>
      <c r="M29" s="55">
        <f>L29/0.2</f>
        <v/>
      </c>
      <c r="N29" s="55">
        <f>M29*1.2</f>
        <v/>
      </c>
      <c r="O29" s="31">
        <f>G29+J29+M29</f>
        <v/>
      </c>
      <c r="P29" s="31">
        <f>H29+K29+N29</f>
        <v/>
      </c>
    </row>
    <row r="30" ht="12" customFormat="1" customHeight="1" s="7">
      <c r="A30" s="7" t="n"/>
      <c r="B30" s="13" t="n">
        <v>26</v>
      </c>
      <c r="C30" s="57" t="n"/>
      <c r="D30" s="62" t="n"/>
      <c r="E30" s="58" t="n"/>
      <c r="F30" s="30" t="n"/>
      <c r="G30" s="55">
        <f>F30/0.01</f>
        <v/>
      </c>
      <c r="H30" s="55">
        <f>G30*1.01</f>
        <v/>
      </c>
      <c r="I30" s="28" t="n"/>
      <c r="J30" s="55">
        <f>I30/0.1</f>
        <v/>
      </c>
      <c r="K30" s="55">
        <f>J30*1.1</f>
        <v/>
      </c>
      <c r="L30" s="30" t="n"/>
      <c r="M30" s="55">
        <f>L30/0.2</f>
        <v/>
      </c>
      <c r="N30" s="55">
        <f>M30*1.2</f>
        <v/>
      </c>
      <c r="O30" s="31">
        <f>G30+J30+M30</f>
        <v/>
      </c>
      <c r="P30" s="31">
        <f>H30+K30+N30</f>
        <v/>
      </c>
    </row>
    <row r="31" ht="12" customFormat="1" customHeight="1" s="7">
      <c r="A31" s="7" t="n"/>
      <c r="B31" s="13" t="n">
        <v>27</v>
      </c>
      <c r="C31" s="57" t="n"/>
      <c r="D31" s="62" t="n"/>
      <c r="E31" s="58" t="n"/>
      <c r="F31" s="30" t="n"/>
      <c r="G31" s="55">
        <f>F31/0.01</f>
        <v/>
      </c>
      <c r="H31" s="55">
        <f>G31*1.01</f>
        <v/>
      </c>
      <c r="I31" s="28" t="n"/>
      <c r="J31" s="55">
        <f>I31/0.1</f>
        <v/>
      </c>
      <c r="K31" s="55">
        <f>J31*1.1</f>
        <v/>
      </c>
      <c r="L31" s="30" t="n"/>
      <c r="M31" s="55">
        <f>L31/0.2</f>
        <v/>
      </c>
      <c r="N31" s="55">
        <f>M31*1.2</f>
        <v/>
      </c>
      <c r="O31" s="31">
        <f>G31+J31+M31</f>
        <v/>
      </c>
      <c r="P31" s="31">
        <f>H31+K31+N31</f>
        <v/>
      </c>
    </row>
    <row r="32" ht="12" customFormat="1" customHeight="1" s="7">
      <c r="A32" s="7" t="n"/>
      <c r="B32" s="13" t="n">
        <v>28</v>
      </c>
      <c r="C32" s="57" t="n"/>
      <c r="D32" s="62" t="n"/>
      <c r="E32" s="58" t="n"/>
      <c r="F32" s="30" t="n"/>
      <c r="G32" s="55">
        <f>F32/0.01</f>
        <v/>
      </c>
      <c r="H32" s="55">
        <f>G32*1.01</f>
        <v/>
      </c>
      <c r="I32" s="28" t="n"/>
      <c r="J32" s="55">
        <f>I32/0.1</f>
        <v/>
      </c>
      <c r="K32" s="55">
        <f>J32*1.1</f>
        <v/>
      </c>
      <c r="L32" s="30" t="n"/>
      <c r="M32" s="55">
        <f>L32/0.2</f>
        <v/>
      </c>
      <c r="N32" s="55">
        <f>M32*1.2</f>
        <v/>
      </c>
      <c r="O32" s="31">
        <f>G32+J32+M32</f>
        <v/>
      </c>
      <c r="P32" s="31">
        <f>H32+K32+N32</f>
        <v/>
      </c>
    </row>
    <row r="33" ht="12" customFormat="1" customHeight="1" s="7">
      <c r="A33" s="7" t="n"/>
      <c r="B33" s="13" t="n">
        <v>29</v>
      </c>
      <c r="C33" s="57" t="n"/>
      <c r="D33" s="62" t="n"/>
      <c r="E33" s="58" t="n"/>
      <c r="F33" s="30" t="n"/>
      <c r="G33" s="55">
        <f>F33/0.01</f>
        <v/>
      </c>
      <c r="H33" s="55">
        <f>G33*1.01</f>
        <v/>
      </c>
      <c r="I33" s="28" t="n"/>
      <c r="J33" s="55">
        <f>I33/0.1</f>
        <v/>
      </c>
      <c r="K33" s="55">
        <f>J33*1.1</f>
        <v/>
      </c>
      <c r="L33" s="30" t="n"/>
      <c r="M33" s="55">
        <f>L33/0.2</f>
        <v/>
      </c>
      <c r="N33" s="55">
        <f>M33*1.2</f>
        <v/>
      </c>
      <c r="O33" s="31">
        <f>G33+J33+M33</f>
        <v/>
      </c>
      <c r="P33" s="31">
        <f>H33+K33+N33</f>
        <v/>
      </c>
    </row>
    <row r="34" ht="12" customFormat="1" customHeight="1" s="7">
      <c r="A34" s="7" t="n"/>
      <c r="B34" s="13" t="n">
        <v>30</v>
      </c>
      <c r="C34" s="57" t="n"/>
      <c r="D34" s="62" t="n"/>
      <c r="E34" s="58" t="n"/>
      <c r="F34" s="30" t="n"/>
      <c r="G34" s="55">
        <f>F34/0.01</f>
        <v/>
      </c>
      <c r="H34" s="55">
        <f>G34*1.01</f>
        <v/>
      </c>
      <c r="I34" s="28" t="n"/>
      <c r="J34" s="55">
        <f>I34/0.1</f>
        <v/>
      </c>
      <c r="K34" s="55">
        <f>J34*1.1</f>
        <v/>
      </c>
      <c r="L34" s="30" t="n"/>
      <c r="M34" s="55">
        <f>L34/0.2</f>
        <v/>
      </c>
      <c r="N34" s="55">
        <f>M34*1.2</f>
        <v/>
      </c>
      <c r="O34" s="31">
        <f>G34+J34+M34</f>
        <v/>
      </c>
      <c r="P34" s="31">
        <f>H34+K34+N34</f>
        <v/>
      </c>
    </row>
    <row r="35" ht="12" customFormat="1" customHeight="1" s="7">
      <c r="A35" s="7" t="n"/>
      <c r="B35" s="13" t="n">
        <v>31</v>
      </c>
      <c r="C35" s="57" t="n"/>
      <c r="D35" s="62" t="n"/>
      <c r="E35" s="58" t="n"/>
      <c r="F35" s="30" t="n"/>
      <c r="G35" s="55">
        <f>F35/0.01</f>
        <v/>
      </c>
      <c r="H35" s="55">
        <f>G35*1.01</f>
        <v/>
      </c>
      <c r="I35" s="28" t="n"/>
      <c r="J35" s="55">
        <f>I35/0.1</f>
        <v/>
      </c>
      <c r="K35" s="55">
        <f>J35*1.1</f>
        <v/>
      </c>
      <c r="L35" s="30" t="n"/>
      <c r="M35" s="55">
        <f>L35/0.2</f>
        <v/>
      </c>
      <c r="N35" s="55">
        <f>M35*1.2</f>
        <v/>
      </c>
      <c r="O35" s="31">
        <f>G35+J35+M35</f>
        <v/>
      </c>
      <c r="P35" s="31">
        <f>H35+K35+N35</f>
        <v/>
      </c>
    </row>
    <row r="36" ht="12" customFormat="1" customHeight="1" s="7">
      <c r="A36" s="7" t="n"/>
      <c r="B36" s="13" t="n">
        <v>32</v>
      </c>
      <c r="C36" s="57" t="n"/>
      <c r="D36" s="62" t="n"/>
      <c r="E36" s="58" t="n"/>
      <c r="F36" s="30" t="n"/>
      <c r="G36" s="55">
        <f>F36/0.01</f>
        <v/>
      </c>
      <c r="H36" s="55">
        <f>G36*1.01</f>
        <v/>
      </c>
      <c r="I36" s="28" t="n"/>
      <c r="J36" s="55">
        <f>I36/0.1</f>
        <v/>
      </c>
      <c r="K36" s="55">
        <f>J36*1.1</f>
        <v/>
      </c>
      <c r="L36" s="30" t="n"/>
      <c r="M36" s="55">
        <f>L36/0.2</f>
        <v/>
      </c>
      <c r="N36" s="55">
        <f>M36*1.2</f>
        <v/>
      </c>
      <c r="O36" s="31">
        <f>G36+J36+M36</f>
        <v/>
      </c>
      <c r="P36" s="31">
        <f>H36+K36+N36</f>
        <v/>
      </c>
    </row>
    <row r="37" ht="12" customFormat="1" customHeight="1" s="7">
      <c r="A37" s="7" t="n"/>
      <c r="B37" s="13" t="n">
        <v>33</v>
      </c>
      <c r="C37" s="57" t="n"/>
      <c r="D37" s="62" t="n"/>
      <c r="E37" s="58" t="n"/>
      <c r="F37" s="30" t="n"/>
      <c r="G37" s="55">
        <f>F37/0.01</f>
        <v/>
      </c>
      <c r="H37" s="55">
        <f>G37*1.01</f>
        <v/>
      </c>
      <c r="I37" s="28" t="n"/>
      <c r="J37" s="55">
        <f>I37/0.1</f>
        <v/>
      </c>
      <c r="K37" s="55">
        <f>J37*1.1</f>
        <v/>
      </c>
      <c r="L37" s="30" t="n"/>
      <c r="M37" s="55">
        <f>L37/0.2</f>
        <v/>
      </c>
      <c r="N37" s="55">
        <f>M37*1.2</f>
        <v/>
      </c>
      <c r="O37" s="31">
        <f>G37+J37+M37</f>
        <v/>
      </c>
      <c r="P37" s="31">
        <f>H37+K37+N37</f>
        <v/>
      </c>
    </row>
    <row r="38" ht="12" customFormat="1" customHeight="1" s="7">
      <c r="A38" s="7" t="inlineStr">
        <is>
          <t>.</t>
        </is>
      </c>
      <c r="B38" s="13" t="n">
        <v>34</v>
      </c>
      <c r="C38" s="57" t="n"/>
      <c r="D38" s="62" t="n"/>
      <c r="E38" s="58" t="n"/>
      <c r="F38" s="30" t="n"/>
      <c r="G38" s="55">
        <f>F38/0.01</f>
        <v/>
      </c>
      <c r="H38" s="55">
        <f>G38*1.01</f>
        <v/>
      </c>
      <c r="I38" s="30" t="n"/>
      <c r="J38" s="55">
        <f>I38/0.1</f>
        <v/>
      </c>
      <c r="K38" s="55">
        <f>J38*1.1</f>
        <v/>
      </c>
      <c r="L38" s="30" t="n"/>
      <c r="M38" s="55">
        <f>L38/0.2</f>
        <v/>
      </c>
      <c r="N38" s="55">
        <f>M38*1.2</f>
        <v/>
      </c>
      <c r="O38" s="31">
        <f>G38+J38+M38</f>
        <v/>
      </c>
      <c r="P38" s="31">
        <f>H38+K38+N38</f>
        <v/>
      </c>
    </row>
    <row r="39" ht="12" customFormat="1" customHeight="1" s="7">
      <c r="A39" s="7" t="n"/>
      <c r="B39" s="13" t="n">
        <v>35</v>
      </c>
      <c r="C39" s="57" t="n"/>
      <c r="D39" s="62" t="n"/>
      <c r="E39" s="58" t="n"/>
      <c r="F39" s="30" t="n"/>
      <c r="G39" s="55">
        <f>F39/0.01</f>
        <v/>
      </c>
      <c r="H39" s="55">
        <f>G39*1.01</f>
        <v/>
      </c>
      <c r="I39" s="30" t="n"/>
      <c r="J39" s="55">
        <f>I39/0.1</f>
        <v/>
      </c>
      <c r="K39" s="55">
        <f>J39*1.1</f>
        <v/>
      </c>
      <c r="L39" s="30" t="n"/>
      <c r="M39" s="55">
        <f>L39/0.2</f>
        <v/>
      </c>
      <c r="N39" s="55">
        <f>M39*1.2</f>
        <v/>
      </c>
      <c r="O39" s="31">
        <f>G39+J39+M39</f>
        <v/>
      </c>
      <c r="P39" s="31">
        <f>H39+K39+N39</f>
        <v/>
      </c>
    </row>
    <row r="40" ht="12" customFormat="1" customHeight="1" s="7">
      <c r="A40" s="7" t="n"/>
      <c r="B40" s="13" t="n">
        <v>36</v>
      </c>
      <c r="C40" s="57" t="n"/>
      <c r="D40" s="62" t="n"/>
      <c r="E40" s="58" t="n"/>
      <c r="F40" s="30" t="n"/>
      <c r="G40" s="55">
        <f>F40/0.01</f>
        <v/>
      </c>
      <c r="H40" s="55">
        <f>G40*1.01</f>
        <v/>
      </c>
      <c r="I40" s="30" t="n"/>
      <c r="J40" s="55">
        <f>I40/0.1</f>
        <v/>
      </c>
      <c r="K40" s="55">
        <f>J40*1.1</f>
        <v/>
      </c>
      <c r="L40" s="30" t="n"/>
      <c r="M40" s="55">
        <f>L40/0.2</f>
        <v/>
      </c>
      <c r="N40" s="55">
        <f>M40*1.2</f>
        <v/>
      </c>
      <c r="O40" s="31">
        <f>G40+J40+M40</f>
        <v/>
      </c>
      <c r="P40" s="31">
        <f>H40+K40+N40</f>
        <v/>
      </c>
    </row>
    <row r="41" ht="12" customFormat="1" customHeight="1" s="7">
      <c r="A41" s="7" t="n"/>
      <c r="B41" s="13" t="n">
        <v>37</v>
      </c>
      <c r="C41" s="57" t="n"/>
      <c r="D41" s="62" t="n"/>
      <c r="E41" s="58" t="n"/>
      <c r="F41" s="30" t="n"/>
      <c r="G41" s="55">
        <f>F41/0.01</f>
        <v/>
      </c>
      <c r="H41" s="55">
        <f>G41*1.01</f>
        <v/>
      </c>
      <c r="I41" s="30" t="n"/>
      <c r="J41" s="55">
        <f>I41/0.1</f>
        <v/>
      </c>
      <c r="K41" s="55">
        <f>J41*1.1</f>
        <v/>
      </c>
      <c r="L41" s="30" t="n"/>
      <c r="M41" s="55">
        <f>L41/0.2</f>
        <v/>
      </c>
      <c r="N41" s="55">
        <f>M41*1.2</f>
        <v/>
      </c>
      <c r="O41" s="31">
        <f>G41+J41+M41</f>
        <v/>
      </c>
      <c r="P41" s="31">
        <f>H41+K41+N41</f>
        <v/>
      </c>
    </row>
    <row r="42" ht="12" customFormat="1" customHeight="1" s="7">
      <c r="A42" s="7" t="n"/>
      <c r="B42" s="13" t="n">
        <v>38</v>
      </c>
      <c r="C42" s="57" t="n"/>
      <c r="D42" s="62" t="n"/>
      <c r="E42" s="58" t="n"/>
      <c r="F42" s="30" t="n"/>
      <c r="G42" s="55">
        <f>F42/0.01</f>
        <v/>
      </c>
      <c r="H42" s="55">
        <f>G42*1.01</f>
        <v/>
      </c>
      <c r="I42" s="30" t="n"/>
      <c r="J42" s="55">
        <f>I42/0.1</f>
        <v/>
      </c>
      <c r="K42" s="55">
        <f>J42*1.1</f>
        <v/>
      </c>
      <c r="L42" s="30" t="n"/>
      <c r="M42" s="55">
        <f>L42/0.2</f>
        <v/>
      </c>
      <c r="N42" s="55">
        <f>M42*1.2</f>
        <v/>
      </c>
      <c r="O42" s="31">
        <f>G42+J42+M42</f>
        <v/>
      </c>
      <c r="P42" s="31">
        <f>H42+K42+N42</f>
        <v/>
      </c>
    </row>
    <row r="43" ht="12" customFormat="1" customHeight="1" s="7">
      <c r="A43" s="7" t="n"/>
      <c r="B43" s="13" t="n">
        <v>39</v>
      </c>
      <c r="C43" s="57" t="n"/>
      <c r="D43" s="62" t="n"/>
      <c r="E43" s="58" t="n"/>
      <c r="F43" s="30" t="n"/>
      <c r="G43" s="55">
        <f>F43/0.01</f>
        <v/>
      </c>
      <c r="H43" s="55">
        <f>G43*1.01</f>
        <v/>
      </c>
      <c r="I43" s="30" t="n"/>
      <c r="J43" s="55">
        <f>I43/0.1</f>
        <v/>
      </c>
      <c r="K43" s="55">
        <f>J43*1.1</f>
        <v/>
      </c>
      <c r="L43" s="30" t="n"/>
      <c r="M43" s="55">
        <f>L43/0.2</f>
        <v/>
      </c>
      <c r="N43" s="55">
        <f>M43*1.2</f>
        <v/>
      </c>
      <c r="O43" s="31">
        <f>G43+J43+M43</f>
        <v/>
      </c>
      <c r="P43" s="31">
        <f>H43+K43+N43</f>
        <v/>
      </c>
    </row>
    <row r="44" ht="12" customFormat="1" customHeight="1" s="7">
      <c r="A44" s="7" t="n"/>
      <c r="B44" s="13" t="n">
        <v>40</v>
      </c>
      <c r="C44" s="57" t="n"/>
      <c r="D44" s="62" t="n"/>
      <c r="E44" s="58" t="n"/>
      <c r="F44" s="30" t="n"/>
      <c r="G44" s="55">
        <f>F44/0.01</f>
        <v/>
      </c>
      <c r="H44" s="55">
        <f>G44*1.01</f>
        <v/>
      </c>
      <c r="I44" s="30" t="n"/>
      <c r="J44" s="55">
        <f>I44/0.1</f>
        <v/>
      </c>
      <c r="K44" s="55">
        <f>J44*1.1</f>
        <v/>
      </c>
      <c r="L44" s="30" t="n"/>
      <c r="M44" s="55">
        <f>L44/0.2</f>
        <v/>
      </c>
      <c r="N44" s="55">
        <f>M44*1.2</f>
        <v/>
      </c>
      <c r="O44" s="31">
        <f>G44+J44+M44</f>
        <v/>
      </c>
      <c r="P44" s="31">
        <f>H44+K44+N44</f>
        <v/>
      </c>
    </row>
    <row r="45" ht="12" customFormat="1" customHeight="1" s="7">
      <c r="A45" s="7" t="n"/>
      <c r="B45" s="13" t="n">
        <v>41</v>
      </c>
      <c r="C45" s="57" t="n"/>
      <c r="D45" s="62" t="n"/>
      <c r="E45" s="58" t="n"/>
      <c r="F45" s="30" t="n"/>
      <c r="G45" s="55">
        <f>F45/0.01</f>
        <v/>
      </c>
      <c r="H45" s="55">
        <f>G45*1.01</f>
        <v/>
      </c>
      <c r="I45" s="30" t="n"/>
      <c r="J45" s="55">
        <f>I45/0.1</f>
        <v/>
      </c>
      <c r="K45" s="55">
        <f>J45*1.1</f>
        <v/>
      </c>
      <c r="L45" s="30" t="n"/>
      <c r="M45" s="55">
        <f>L45/0.2</f>
        <v/>
      </c>
      <c r="N45" s="55">
        <f>M45*1.2</f>
        <v/>
      </c>
      <c r="O45" s="31">
        <f>G45+J45+M45</f>
        <v/>
      </c>
      <c r="P45" s="31">
        <f>H45+K45+N45</f>
        <v/>
      </c>
    </row>
    <row r="46" ht="12" customFormat="1" customHeight="1" s="7">
      <c r="A46" s="7" t="n"/>
      <c r="B46" s="13" t="n">
        <v>42</v>
      </c>
      <c r="C46" s="57" t="n"/>
      <c r="D46" s="62" t="n"/>
      <c r="E46" s="58" t="n"/>
      <c r="F46" s="30" t="n"/>
      <c r="G46" s="55">
        <f>F46/0.01</f>
        <v/>
      </c>
      <c r="H46" s="55">
        <f>G46*1.01</f>
        <v/>
      </c>
      <c r="I46" s="30" t="n"/>
      <c r="J46" s="55">
        <f>I46/0.1</f>
        <v/>
      </c>
      <c r="K46" s="55">
        <f>J46*1.1</f>
        <v/>
      </c>
      <c r="L46" s="30" t="n"/>
      <c r="M46" s="55">
        <f>L46/0.2</f>
        <v/>
      </c>
      <c r="N46" s="55">
        <f>M46*1.2</f>
        <v/>
      </c>
      <c r="O46" s="31">
        <f>G46+J46+M46</f>
        <v/>
      </c>
      <c r="P46" s="31">
        <f>H46+K46+N46</f>
        <v/>
      </c>
    </row>
    <row r="47" ht="12" customFormat="1" customHeight="1" s="7">
      <c r="A47" s="7" t="n"/>
      <c r="B47" s="13" t="n">
        <v>43</v>
      </c>
      <c r="C47" s="14" t="n"/>
      <c r="D47" s="62" t="n"/>
      <c r="E47" s="58" t="n"/>
      <c r="F47" s="30" t="n"/>
      <c r="G47" s="55">
        <f>F47/0.01</f>
        <v/>
      </c>
      <c r="H47" s="55">
        <f>G47*1.01</f>
        <v/>
      </c>
      <c r="I47" s="30" t="n"/>
      <c r="J47" s="55">
        <f>I47/0.1</f>
        <v/>
      </c>
      <c r="K47" s="55">
        <f>J47*1.1</f>
        <v/>
      </c>
      <c r="L47" s="30" t="n"/>
      <c r="M47" s="55">
        <f>L47/0.2</f>
        <v/>
      </c>
      <c r="N47" s="55">
        <f>M47*1.2</f>
        <v/>
      </c>
      <c r="O47" s="31">
        <f>G47+J47+M47</f>
        <v/>
      </c>
      <c r="P47" s="31">
        <f>H47+K47+N47</f>
        <v/>
      </c>
    </row>
    <row r="48" ht="12" customFormat="1" customHeight="1" s="7">
      <c r="A48" s="7" t="n"/>
      <c r="B48" s="13" t="n">
        <v>44</v>
      </c>
      <c r="C48" s="57" t="n"/>
      <c r="D48" s="62" t="n"/>
      <c r="E48" s="58" t="n"/>
      <c r="F48" s="30" t="n"/>
      <c r="G48" s="55">
        <f>F48/0.01</f>
        <v/>
      </c>
      <c r="H48" s="55">
        <f>G48*1.01</f>
        <v/>
      </c>
      <c r="I48" s="30" t="n"/>
      <c r="J48" s="55">
        <f>I48/0.1</f>
        <v/>
      </c>
      <c r="K48" s="55">
        <f>J48*1.1</f>
        <v/>
      </c>
      <c r="L48" s="30" t="n"/>
      <c r="M48" s="55">
        <f>L48/0.2</f>
        <v/>
      </c>
      <c r="N48" s="55">
        <f>M48*1.2</f>
        <v/>
      </c>
      <c r="O48" s="31">
        <f>G48+J48+M48</f>
        <v/>
      </c>
      <c r="P48" s="31">
        <f>H48+K48+N48</f>
        <v/>
      </c>
    </row>
    <row r="49" ht="12" customFormat="1" customHeight="1" s="7">
      <c r="A49" s="7" t="n"/>
      <c r="B49" s="13" t="n">
        <v>45</v>
      </c>
      <c r="C49" s="57" t="n"/>
      <c r="D49" s="62" t="n"/>
      <c r="E49" s="58" t="n"/>
      <c r="F49" s="30" t="n"/>
      <c r="G49" s="55">
        <f>F49/0.01</f>
        <v/>
      </c>
      <c r="H49" s="55">
        <f>G49*1.01</f>
        <v/>
      </c>
      <c r="I49" s="30" t="n"/>
      <c r="J49" s="55">
        <f>I49/0.1</f>
        <v/>
      </c>
      <c r="K49" s="55">
        <f>J49*1.1</f>
        <v/>
      </c>
      <c r="L49" s="30" t="n"/>
      <c r="M49" s="55">
        <f>L49/0.2</f>
        <v/>
      </c>
      <c r="N49" s="55">
        <f>M49*1.2</f>
        <v/>
      </c>
      <c r="O49" s="31">
        <f>G49+J49+M49</f>
        <v/>
      </c>
      <c r="P49" s="31">
        <f>H49+K49+N49</f>
        <v/>
      </c>
    </row>
    <row r="50" ht="12" customFormat="1" customHeight="1" s="7">
      <c r="A50" s="7" t="n"/>
      <c r="B50" s="13" t="n">
        <v>46</v>
      </c>
      <c r="C50" s="57" t="n"/>
      <c r="D50" s="62" t="n"/>
      <c r="E50" s="58" t="n"/>
      <c r="F50" s="30" t="n"/>
      <c r="G50" s="55">
        <f>F50/0.01</f>
        <v/>
      </c>
      <c r="H50" s="55">
        <f>G50*1.01</f>
        <v/>
      </c>
      <c r="I50" s="30" t="n"/>
      <c r="J50" s="55">
        <f>I50/0.1</f>
        <v/>
      </c>
      <c r="K50" s="55">
        <f>J50*1.1</f>
        <v/>
      </c>
      <c r="L50" s="30" t="n"/>
      <c r="M50" s="55">
        <f>L50/0.2</f>
        <v/>
      </c>
      <c r="N50" s="55">
        <f>M50*1.2</f>
        <v/>
      </c>
      <c r="O50" s="31">
        <f>G50+J50+M50</f>
        <v/>
      </c>
      <c r="P50" s="31">
        <f>H50+K50+N50</f>
        <v/>
      </c>
    </row>
    <row r="51" ht="12" customFormat="1" customHeight="1" s="7">
      <c r="A51" s="7" t="inlineStr">
        <is>
          <t>.</t>
        </is>
      </c>
      <c r="B51" s="13" t="n">
        <v>47</v>
      </c>
      <c r="C51" s="57" t="n"/>
      <c r="D51" s="62" t="n"/>
      <c r="E51" s="58" t="n"/>
      <c r="F51" s="30" t="n"/>
      <c r="G51" s="55">
        <f>F51/0.01</f>
        <v/>
      </c>
      <c r="H51" s="55">
        <f>G51*1.01</f>
        <v/>
      </c>
      <c r="I51" s="30" t="n"/>
      <c r="J51" s="55">
        <f>I51/0.1</f>
        <v/>
      </c>
      <c r="K51" s="55">
        <f>J51*1.1</f>
        <v/>
      </c>
      <c r="L51" s="30" t="n"/>
      <c r="M51" s="55">
        <f>L51/0.2</f>
        <v/>
      </c>
      <c r="N51" s="55">
        <f>M51*1.2</f>
        <v/>
      </c>
      <c r="O51" s="31">
        <f>G51+J51+M51</f>
        <v/>
      </c>
      <c r="P51" s="31">
        <f>H51+K51+N51</f>
        <v/>
      </c>
    </row>
    <row r="52" ht="12" customFormat="1" customHeight="1" s="7">
      <c r="A52" s="7" t="n"/>
      <c r="B52" s="13" t="n">
        <v>48</v>
      </c>
      <c r="C52" s="57" t="n"/>
      <c r="D52" s="62" t="n"/>
      <c r="E52" s="57" t="n"/>
      <c r="F52" s="30" t="n"/>
      <c r="G52" s="55">
        <f>F52/0.01</f>
        <v/>
      </c>
      <c r="H52" s="55">
        <f>G52*1.01</f>
        <v/>
      </c>
      <c r="I52" s="30" t="n"/>
      <c r="J52" s="55">
        <f>I52/0.1</f>
        <v/>
      </c>
      <c r="K52" s="55">
        <f>J52*1.1</f>
        <v/>
      </c>
      <c r="L52" s="30" t="n"/>
      <c r="M52" s="55">
        <f>L52/0.2</f>
        <v/>
      </c>
      <c r="N52" s="55">
        <f>M52*1.2</f>
        <v/>
      </c>
      <c r="O52" s="31">
        <f>G52+J52+M52</f>
        <v/>
      </c>
      <c r="P52" s="31">
        <f>H52+K52+N52</f>
        <v/>
      </c>
    </row>
    <row r="53" ht="12" customFormat="1" customHeight="1" s="7">
      <c r="A53" s="7" t="n"/>
      <c r="B53" s="13" t="n">
        <v>49</v>
      </c>
      <c r="C53" s="57" t="n"/>
      <c r="D53" s="62" t="n"/>
      <c r="E53" s="58" t="n"/>
      <c r="F53" s="30" t="n"/>
      <c r="G53" s="55">
        <f>F53/0.01</f>
        <v/>
      </c>
      <c r="H53" s="55">
        <f>G53*1.01</f>
        <v/>
      </c>
      <c r="I53" s="30" t="n"/>
      <c r="J53" s="55">
        <f>I53/0.1</f>
        <v/>
      </c>
      <c r="K53" s="55">
        <f>J53*1.1</f>
        <v/>
      </c>
      <c r="L53" s="30" t="n"/>
      <c r="M53" s="55">
        <f>L53/0.2</f>
        <v/>
      </c>
      <c r="N53" s="55">
        <f>M53*1.2</f>
        <v/>
      </c>
      <c r="O53" s="31">
        <f>G53+J53+M53</f>
        <v/>
      </c>
      <c r="P53" s="31">
        <f>H53+K53+N53</f>
        <v/>
      </c>
    </row>
    <row r="54" ht="12" customFormat="1" customHeight="1" s="7">
      <c r="A54" s="7" t="n"/>
      <c r="B54" s="13" t="n">
        <v>50</v>
      </c>
      <c r="C54" s="57" t="n"/>
      <c r="D54" s="62" t="n"/>
      <c r="E54" s="58" t="n"/>
      <c r="F54" s="30" t="n"/>
      <c r="G54" s="55">
        <f>F54/0.01</f>
        <v/>
      </c>
      <c r="H54" s="55">
        <f>G54*1.01</f>
        <v/>
      </c>
      <c r="I54" s="30" t="n"/>
      <c r="J54" s="55">
        <f>I54/0.1</f>
        <v/>
      </c>
      <c r="K54" s="55">
        <f>J54*1.1</f>
        <v/>
      </c>
      <c r="L54" s="30" t="n"/>
      <c r="M54" s="55">
        <f>L54/0.2</f>
        <v/>
      </c>
      <c r="N54" s="55">
        <f>M54*1.2</f>
        <v/>
      </c>
      <c r="O54" s="31">
        <f>G54+J54+M54</f>
        <v/>
      </c>
      <c r="P54" s="31">
        <f>H54+K54+N54</f>
        <v/>
      </c>
    </row>
    <row r="55" ht="12" customFormat="1" customHeight="1" s="7">
      <c r="A55" s="7" t="n"/>
      <c r="B55" s="13" t="n">
        <v>51</v>
      </c>
      <c r="C55" s="57" t="n"/>
      <c r="D55" s="62" t="n"/>
      <c r="E55" s="58" t="n"/>
      <c r="F55" s="30" t="n"/>
      <c r="G55" s="55">
        <f>F55/0.01</f>
        <v/>
      </c>
      <c r="H55" s="55">
        <f>G55*1.01</f>
        <v/>
      </c>
      <c r="I55" s="30" t="n"/>
      <c r="J55" s="55">
        <f>I55/0.1</f>
        <v/>
      </c>
      <c r="K55" s="55">
        <f>J55*1.1</f>
        <v/>
      </c>
      <c r="L55" s="30" t="n"/>
      <c r="M55" s="55">
        <f>L55/0.2</f>
        <v/>
      </c>
      <c r="N55" s="55">
        <f>M55*1.2</f>
        <v/>
      </c>
      <c r="O55" s="31">
        <f>G55+J55+M55</f>
        <v/>
      </c>
      <c r="P55" s="31">
        <f>H55+K55+N55</f>
        <v/>
      </c>
    </row>
    <row r="56" ht="12" customFormat="1" customHeight="1" s="7">
      <c r="A56" s="7" t="n"/>
      <c r="B56" s="13" t="n">
        <v>52</v>
      </c>
      <c r="C56" s="57" t="n"/>
      <c r="D56" s="62" t="n"/>
      <c r="E56" s="58" t="n"/>
      <c r="F56" s="30" t="n"/>
      <c r="G56" s="55">
        <f>F56/0.01</f>
        <v/>
      </c>
      <c r="H56" s="55">
        <f>G56*1.01</f>
        <v/>
      </c>
      <c r="I56" s="30" t="n"/>
      <c r="J56" s="55">
        <f>I56/0.1</f>
        <v/>
      </c>
      <c r="K56" s="55">
        <f>J56*1.1</f>
        <v/>
      </c>
      <c r="L56" s="30" t="n"/>
      <c r="M56" s="55">
        <f>L56/0.2</f>
        <v/>
      </c>
      <c r="N56" s="55">
        <f>M56*1.2</f>
        <v/>
      </c>
      <c r="O56" s="31">
        <f>G56+J56+M56</f>
        <v/>
      </c>
      <c r="P56" s="31">
        <f>H56+K56+N56</f>
        <v/>
      </c>
    </row>
    <row r="57" ht="12" customFormat="1" customHeight="1" s="7">
      <c r="A57" s="7" t="n"/>
      <c r="B57" s="13" t="n">
        <v>53</v>
      </c>
      <c r="C57" s="57" t="n"/>
      <c r="D57" s="62" t="n"/>
      <c r="E57" s="58" t="n"/>
      <c r="F57" s="30" t="n"/>
      <c r="G57" s="55">
        <f>F57/0.01</f>
        <v/>
      </c>
      <c r="H57" s="55">
        <f>G57*1.01</f>
        <v/>
      </c>
      <c r="I57" s="30" t="n"/>
      <c r="J57" s="55">
        <f>I57/0.1</f>
        <v/>
      </c>
      <c r="K57" s="55">
        <f>J57*1.1</f>
        <v/>
      </c>
      <c r="L57" s="30" t="n"/>
      <c r="M57" s="55">
        <f>L57/0.2</f>
        <v/>
      </c>
      <c r="N57" s="55">
        <f>M57*1.2</f>
        <v/>
      </c>
      <c r="O57" s="31">
        <f>G57+J57+M57</f>
        <v/>
      </c>
      <c r="P57" s="31">
        <f>H57+K57+N57</f>
        <v/>
      </c>
    </row>
    <row r="58" ht="12" customFormat="1" customHeight="1" s="7">
      <c r="A58" s="7" t="n"/>
      <c r="B58" s="13" t="n">
        <v>54</v>
      </c>
      <c r="C58" s="57" t="n"/>
      <c r="D58" s="62" t="n"/>
      <c r="E58" s="58" t="n"/>
      <c r="F58" s="30" t="n"/>
      <c r="G58" s="55">
        <f>F58/0.01</f>
        <v/>
      </c>
      <c r="H58" s="55">
        <f>G58*1.01</f>
        <v/>
      </c>
      <c r="I58" s="30" t="n"/>
      <c r="J58" s="55">
        <f>I58/0.1</f>
        <v/>
      </c>
      <c r="K58" s="55">
        <f>J58*1.1</f>
        <v/>
      </c>
      <c r="L58" s="30" t="n"/>
      <c r="M58" s="55">
        <f>L58/0.2</f>
        <v/>
      </c>
      <c r="N58" s="55">
        <f>M58*1.2</f>
        <v/>
      </c>
      <c r="O58" s="31">
        <f>G58+J58+M58</f>
        <v/>
      </c>
      <c r="P58" s="31">
        <f>H58+K58+N58</f>
        <v/>
      </c>
    </row>
    <row r="59" ht="12.75" customFormat="1" customHeight="1" s="7">
      <c r="A59" s="7" t="n"/>
      <c r="B59" s="13" t="n">
        <v>55</v>
      </c>
      <c r="C59" s="57" t="n"/>
      <c r="D59" s="62" t="n"/>
      <c r="E59" s="58" t="n"/>
      <c r="F59" s="30" t="n"/>
      <c r="G59" s="55">
        <f>F59/0.01</f>
        <v/>
      </c>
      <c r="H59" s="55">
        <f>G59*1.01</f>
        <v/>
      </c>
      <c r="I59" s="30" t="n"/>
      <c r="J59" s="55">
        <f>I59/0.1</f>
        <v/>
      </c>
      <c r="K59" s="55">
        <f>J59*1.1</f>
        <v/>
      </c>
      <c r="L59" s="30" t="n"/>
      <c r="M59" s="55">
        <f>L59/0.2</f>
        <v/>
      </c>
      <c r="N59" s="55">
        <f>M59*1.2</f>
        <v/>
      </c>
      <c r="O59" s="31">
        <f>G59+J59+M59</f>
        <v/>
      </c>
      <c r="P59" s="31">
        <f>H59+K59+N59</f>
        <v/>
      </c>
    </row>
    <row r="60">
      <c r="B60" s="13" t="n">
        <v>56</v>
      </c>
      <c r="C60" s="57" t="n"/>
      <c r="D60" s="62" t="n"/>
      <c r="E60" s="58" t="n"/>
      <c r="F60" s="30" t="n"/>
      <c r="G60" s="55">
        <f>F60/0.01</f>
        <v/>
      </c>
      <c r="H60" s="55">
        <f>G60*1.01</f>
        <v/>
      </c>
      <c r="I60" s="30" t="n"/>
      <c r="J60" s="55">
        <f>I60/0.1</f>
        <v/>
      </c>
      <c r="K60" s="55">
        <f>J60*1.1</f>
        <v/>
      </c>
      <c r="L60" s="30" t="n"/>
      <c r="M60" s="55">
        <f>L60/0.2</f>
        <v/>
      </c>
      <c r="N60" s="55">
        <f>M60*1.2</f>
        <v/>
      </c>
      <c r="O60" s="31">
        <f>G60+J60+M60</f>
        <v/>
      </c>
      <c r="P60" s="31">
        <f>H60+K60+N60</f>
        <v/>
      </c>
    </row>
    <row r="61">
      <c r="B61" s="13" t="n">
        <v>57</v>
      </c>
      <c r="C61" s="57" t="n"/>
      <c r="D61" s="62" t="n"/>
      <c r="E61" s="58" t="n"/>
      <c r="F61" s="30" t="n"/>
      <c r="G61" s="55">
        <f>F61/0.01</f>
        <v/>
      </c>
      <c r="H61" s="55">
        <f>G61*1.01</f>
        <v/>
      </c>
      <c r="I61" s="30" t="n"/>
      <c r="J61" s="55">
        <f>I61/0.1</f>
        <v/>
      </c>
      <c r="K61" s="55">
        <f>J61*1.1</f>
        <v/>
      </c>
      <c r="L61" s="30" t="n"/>
      <c r="M61" s="55">
        <f>L61/0.2</f>
        <v/>
      </c>
      <c r="N61" s="55">
        <f>M61*1.2</f>
        <v/>
      </c>
      <c r="O61" s="31">
        <f>G61+J61+M61</f>
        <v/>
      </c>
      <c r="P61" s="31">
        <f>H61+K61+N61</f>
        <v/>
      </c>
    </row>
    <row r="62">
      <c r="B62" s="13" t="n">
        <v>58</v>
      </c>
      <c r="C62" s="57" t="n"/>
      <c r="D62" s="62" t="n"/>
      <c r="E62" s="58" t="n"/>
      <c r="F62" s="30" t="n"/>
      <c r="G62" s="55">
        <f>F62/0.01</f>
        <v/>
      </c>
      <c r="H62" s="55">
        <f>G62*1.01</f>
        <v/>
      </c>
      <c r="I62" s="30" t="n"/>
      <c r="J62" s="55">
        <f>I62/0.1</f>
        <v/>
      </c>
      <c r="K62" s="55">
        <f>J62*1.1</f>
        <v/>
      </c>
      <c r="L62" s="30" t="n"/>
      <c r="M62" s="55">
        <f>L62/0.2</f>
        <v/>
      </c>
      <c r="N62" s="55">
        <f>M62*1.2</f>
        <v/>
      </c>
      <c r="O62" s="31">
        <f>G62+J62+M62</f>
        <v/>
      </c>
      <c r="P62" s="31">
        <f>H62+K62+N62</f>
        <v/>
      </c>
    </row>
    <row r="63">
      <c r="B63" s="13" t="n">
        <v>59</v>
      </c>
      <c r="C63" s="57" t="n"/>
      <c r="D63" s="62" t="n"/>
      <c r="E63" s="58" t="n"/>
      <c r="F63" s="30" t="n"/>
      <c r="G63" s="55">
        <f>F63/0.01</f>
        <v/>
      </c>
      <c r="H63" s="55">
        <f>G63*1.01</f>
        <v/>
      </c>
      <c r="I63" s="30" t="n"/>
      <c r="J63" s="55">
        <f>I63/0.1</f>
        <v/>
      </c>
      <c r="K63" s="55">
        <f>J63*1.1</f>
        <v/>
      </c>
      <c r="L63" s="30" t="n"/>
      <c r="M63" s="55">
        <f>L63/0.2</f>
        <v/>
      </c>
      <c r="N63" s="55">
        <f>M63*1.2</f>
        <v/>
      </c>
      <c r="O63" s="31">
        <f>G63+J63+M63</f>
        <v/>
      </c>
      <c r="P63" s="31">
        <f>H63+K63+N63</f>
        <v/>
      </c>
    </row>
    <row r="64">
      <c r="B64" s="13" t="n">
        <v>60</v>
      </c>
      <c r="C64" s="57" t="n"/>
      <c r="D64" s="62" t="n"/>
      <c r="E64" s="58" t="n"/>
      <c r="F64" s="30" t="n"/>
      <c r="G64" s="55">
        <f>F64/0.01</f>
        <v/>
      </c>
      <c r="H64" s="55">
        <f>G64*1.01</f>
        <v/>
      </c>
      <c r="I64" s="30" t="n"/>
      <c r="J64" s="55">
        <f>I64/0.1</f>
        <v/>
      </c>
      <c r="K64" s="55">
        <f>J64*1.1</f>
        <v/>
      </c>
      <c r="L64" s="30" t="n"/>
      <c r="M64" s="55">
        <f>L64/0.2</f>
        <v/>
      </c>
      <c r="N64" s="55">
        <f>M64*1.2</f>
        <v/>
      </c>
      <c r="O64" s="31">
        <f>G64+J64+M64</f>
        <v/>
      </c>
      <c r="P64" s="31">
        <f>H64+K64+N64</f>
        <v/>
      </c>
    </row>
    <row r="65">
      <c r="B65" s="13" t="n">
        <v>61</v>
      </c>
      <c r="C65" s="57" t="n"/>
      <c r="D65" s="62" t="n"/>
      <c r="E65" s="58" t="n"/>
      <c r="F65" s="30" t="n"/>
      <c r="G65" s="55">
        <f>F65/0.01</f>
        <v/>
      </c>
      <c r="H65" s="55">
        <f>G65*1.01</f>
        <v/>
      </c>
      <c r="I65" s="30" t="n"/>
      <c r="J65" s="55">
        <f>I65/0.1</f>
        <v/>
      </c>
      <c r="K65" s="55">
        <f>J65*1.1</f>
        <v/>
      </c>
      <c r="L65" s="30" t="n"/>
      <c r="M65" s="55">
        <f>L65/0.2</f>
        <v/>
      </c>
      <c r="N65" s="55">
        <f>M65*1.2</f>
        <v/>
      </c>
      <c r="O65" s="31">
        <f>G65+J65+M65</f>
        <v/>
      </c>
      <c r="P65" s="31">
        <f>H65+K65+N65</f>
        <v/>
      </c>
    </row>
    <row r="66">
      <c r="B66" s="13" t="n">
        <v>62</v>
      </c>
      <c r="C66" s="57" t="n"/>
      <c r="D66" s="62" t="n"/>
      <c r="E66" s="58" t="n"/>
      <c r="F66" s="30" t="n"/>
      <c r="G66" s="55">
        <f>F66/0.01</f>
        <v/>
      </c>
      <c r="H66" s="55">
        <f>G66*1.01</f>
        <v/>
      </c>
      <c r="I66" s="30" t="n"/>
      <c r="J66" s="55">
        <f>I66/0.1</f>
        <v/>
      </c>
      <c r="K66" s="55">
        <f>J66*1.1</f>
        <v/>
      </c>
      <c r="L66" s="30" t="n"/>
      <c r="M66" s="55">
        <f>L66/0.2</f>
        <v/>
      </c>
      <c r="N66" s="55">
        <f>M66*1.2</f>
        <v/>
      </c>
      <c r="O66" s="31">
        <f>G66+J66+M66</f>
        <v/>
      </c>
      <c r="P66" s="31">
        <f>H66+K66+N66</f>
        <v/>
      </c>
    </row>
    <row r="67">
      <c r="B67" s="13" t="n">
        <v>63</v>
      </c>
      <c r="C67" s="57" t="n"/>
      <c r="D67" s="62" t="n"/>
      <c r="E67" s="58" t="n"/>
      <c r="F67" s="30" t="n"/>
      <c r="G67" s="55">
        <f>F67/0.01</f>
        <v/>
      </c>
      <c r="H67" s="55">
        <f>G67*1.01</f>
        <v/>
      </c>
      <c r="I67" s="30" t="n"/>
      <c r="J67" s="55">
        <f>I67/0.1</f>
        <v/>
      </c>
      <c r="K67" s="55">
        <f>J67*1.1</f>
        <v/>
      </c>
      <c r="L67" s="30" t="n"/>
      <c r="M67" s="55">
        <f>L67/0.2</f>
        <v/>
      </c>
      <c r="N67" s="55">
        <f>M67*1.2</f>
        <v/>
      </c>
      <c r="O67" s="31">
        <f>G67+J67+M67</f>
        <v/>
      </c>
      <c r="P67" s="31">
        <f>H67+K67+N67</f>
        <v/>
      </c>
    </row>
    <row r="68">
      <c r="B68" s="13" t="n">
        <v>64</v>
      </c>
      <c r="C68" s="57" t="n"/>
      <c r="D68" s="62" t="n"/>
      <c r="E68" s="58" t="n"/>
      <c r="F68" s="30" t="n"/>
      <c r="G68" s="55">
        <f>F68/0.01</f>
        <v/>
      </c>
      <c r="H68" s="55">
        <f>G68*1.01</f>
        <v/>
      </c>
      <c r="I68" s="30" t="n"/>
      <c r="J68" s="55">
        <f>I68/0.1</f>
        <v/>
      </c>
      <c r="K68" s="55">
        <f>J68*1.1</f>
        <v/>
      </c>
      <c r="L68" s="30" t="n"/>
      <c r="M68" s="55">
        <f>L68/0.2</f>
        <v/>
      </c>
      <c r="N68" s="55">
        <f>M68*1.2</f>
        <v/>
      </c>
      <c r="O68" s="31">
        <f>G68+J68+M68</f>
        <v/>
      </c>
      <c r="P68" s="31">
        <f>H68+K68+N68</f>
        <v/>
      </c>
    </row>
    <row r="69">
      <c r="B69" s="13" t="n">
        <v>65</v>
      </c>
      <c r="C69" s="57" t="n"/>
      <c r="D69" s="62" t="n"/>
      <c r="E69" s="58" t="n"/>
      <c r="F69" s="30" t="n"/>
      <c r="G69" s="55">
        <f>F69/0.01</f>
        <v/>
      </c>
      <c r="H69" s="55">
        <f>G69*1.01</f>
        <v/>
      </c>
      <c r="I69" s="30" t="n"/>
      <c r="J69" s="55">
        <f>I69/0.1</f>
        <v/>
      </c>
      <c r="K69" s="55">
        <f>J69*1.1</f>
        <v/>
      </c>
      <c r="L69" s="30" t="n"/>
      <c r="M69" s="55">
        <f>L69/0.2</f>
        <v/>
      </c>
      <c r="N69" s="55">
        <f>M69*1.2</f>
        <v/>
      </c>
      <c r="O69" s="31">
        <f>G69+J69+M69</f>
        <v/>
      </c>
      <c r="P69" s="31">
        <f>H69+K69+N69</f>
        <v/>
      </c>
    </row>
    <row r="70">
      <c r="B70" s="13" t="n">
        <v>66</v>
      </c>
      <c r="C70" s="57" t="n"/>
      <c r="D70" s="62" t="n"/>
      <c r="E70" s="58" t="n"/>
      <c r="F70" s="30" t="n"/>
      <c r="G70" s="55">
        <f>F70/0.01</f>
        <v/>
      </c>
      <c r="H70" s="55">
        <f>G70*1.01</f>
        <v/>
      </c>
      <c r="I70" s="30" t="n"/>
      <c r="J70" s="55">
        <f>I70/0.1</f>
        <v/>
      </c>
      <c r="K70" s="55">
        <f>J70*1.1</f>
        <v/>
      </c>
      <c r="L70" s="30" t="n"/>
      <c r="M70" s="55">
        <f>L70/0.2</f>
        <v/>
      </c>
      <c r="N70" s="55">
        <f>M70*1.2</f>
        <v/>
      </c>
      <c r="O70" s="31">
        <f>G70+J70+M70</f>
        <v/>
      </c>
      <c r="P70" s="31">
        <f>H70+K70+N70</f>
        <v/>
      </c>
    </row>
    <row r="71">
      <c r="B71" s="13" t="n">
        <v>67</v>
      </c>
      <c r="C71" s="57" t="n"/>
      <c r="D71" s="62" t="n"/>
      <c r="E71" s="58" t="n"/>
      <c r="F71" s="30" t="n"/>
      <c r="G71" s="55">
        <f>F71/0.01</f>
        <v/>
      </c>
      <c r="H71" s="55">
        <f>G71*1.01</f>
        <v/>
      </c>
      <c r="I71" s="30" t="n"/>
      <c r="J71" s="55">
        <f>I71/0.1</f>
        <v/>
      </c>
      <c r="K71" s="55">
        <f>J71*1.1</f>
        <v/>
      </c>
      <c r="L71" s="30" t="n"/>
      <c r="M71" s="55">
        <f>L71/0.2</f>
        <v/>
      </c>
      <c r="N71" s="55">
        <f>M71*1.2</f>
        <v/>
      </c>
      <c r="O71" s="31">
        <f>G71+J71+M71</f>
        <v/>
      </c>
      <c r="P71" s="31">
        <f>H71+K71+N71</f>
        <v/>
      </c>
    </row>
    <row r="72">
      <c r="B72" s="13" t="n">
        <v>68</v>
      </c>
      <c r="C72" s="57" t="n"/>
      <c r="D72" s="62" t="n"/>
      <c r="E72" s="58" t="n"/>
      <c r="F72" s="30" t="n"/>
      <c r="G72" s="55">
        <f>F72/0.01</f>
        <v/>
      </c>
      <c r="H72" s="55">
        <f>G72*1.01</f>
        <v/>
      </c>
      <c r="I72" s="30" t="n"/>
      <c r="J72" s="55">
        <f>I72/0.1</f>
        <v/>
      </c>
      <c r="K72" s="55">
        <f>J72*1.1</f>
        <v/>
      </c>
      <c r="L72" s="30" t="n"/>
      <c r="M72" s="55">
        <f>L72/0.2</f>
        <v/>
      </c>
      <c r="N72" s="55">
        <f>M72*1.2</f>
        <v/>
      </c>
      <c r="O72" s="31">
        <f>G72+J72+M72</f>
        <v/>
      </c>
      <c r="P72" s="31">
        <f>H72+K72+N72</f>
        <v/>
      </c>
    </row>
    <row r="73">
      <c r="B73" s="13" t="n">
        <v>69</v>
      </c>
      <c r="C73" s="57" t="n"/>
      <c r="D73" s="62" t="n"/>
      <c r="E73" s="58" t="n"/>
      <c r="F73" s="30" t="n"/>
      <c r="G73" s="55">
        <f>F73/0.01</f>
        <v/>
      </c>
      <c r="H73" s="55">
        <f>G73*1.01</f>
        <v/>
      </c>
      <c r="I73" s="30" t="n"/>
      <c r="J73" s="55">
        <f>I73/0.1</f>
        <v/>
      </c>
      <c r="K73" s="55">
        <f>J73*1.1</f>
        <v/>
      </c>
      <c r="L73" s="30" t="n"/>
      <c r="M73" s="55">
        <f>L73/0.2</f>
        <v/>
      </c>
      <c r="N73" s="55">
        <f>M73*1.2</f>
        <v/>
      </c>
      <c r="O73" s="31">
        <f>G73+J73+M73</f>
        <v/>
      </c>
      <c r="P73" s="31">
        <f>H73+K73+N73</f>
        <v/>
      </c>
    </row>
    <row r="74">
      <c r="B74" s="13" t="n">
        <v>70</v>
      </c>
      <c r="C74" s="57" t="n"/>
      <c r="D74" s="62" t="n"/>
      <c r="E74" s="58" t="n"/>
      <c r="F74" s="30" t="n"/>
      <c r="G74" s="55">
        <f>F74/0.01</f>
        <v/>
      </c>
      <c r="H74" s="55">
        <f>G74*1.01</f>
        <v/>
      </c>
      <c r="I74" s="30" t="n"/>
      <c r="J74" s="55">
        <f>I74/0.1</f>
        <v/>
      </c>
      <c r="K74" s="55">
        <f>J74*1.1</f>
        <v/>
      </c>
      <c r="L74" s="30" t="n"/>
      <c r="M74" s="55">
        <f>L74/0.2</f>
        <v/>
      </c>
      <c r="N74" s="55">
        <f>M74*1.2</f>
        <v/>
      </c>
      <c r="O74" s="31">
        <f>G74+J74+M74</f>
        <v/>
      </c>
      <c r="P74" s="31">
        <f>H74+K74+N74</f>
        <v/>
      </c>
    </row>
    <row r="75">
      <c r="B75" s="13" t="n">
        <v>71</v>
      </c>
      <c r="C75" s="57" t="n"/>
      <c r="D75" s="62" t="n"/>
      <c r="E75" s="58" t="n"/>
      <c r="F75" s="30" t="n"/>
      <c r="G75" s="55">
        <f>F75/0.01</f>
        <v/>
      </c>
      <c r="H75" s="55">
        <f>G75*1.01</f>
        <v/>
      </c>
      <c r="I75" s="30" t="n"/>
      <c r="J75" s="55">
        <f>I75/0.1</f>
        <v/>
      </c>
      <c r="K75" s="55">
        <f>J75*1.1</f>
        <v/>
      </c>
      <c r="L75" s="30" t="n"/>
      <c r="M75" s="55">
        <f>L75/0.2</f>
        <v/>
      </c>
      <c r="N75" s="55">
        <f>M75*1.2</f>
        <v/>
      </c>
      <c r="O75" s="31">
        <f>G75+J75+M75</f>
        <v/>
      </c>
      <c r="P75" s="31">
        <f>H75+K75+N75</f>
        <v/>
      </c>
    </row>
    <row r="76">
      <c r="B76" s="13" t="n">
        <v>72</v>
      </c>
      <c r="C76" s="57" t="n"/>
      <c r="D76" s="62" t="n"/>
      <c r="E76" s="58" t="n"/>
      <c r="F76" s="30" t="n"/>
      <c r="G76" s="55">
        <f>F76/0.01</f>
        <v/>
      </c>
      <c r="H76" s="55">
        <f>G76*1.01</f>
        <v/>
      </c>
      <c r="I76" s="30" t="n"/>
      <c r="J76" s="55">
        <f>I76/0.1</f>
        <v/>
      </c>
      <c r="K76" s="55">
        <f>J76*1.1</f>
        <v/>
      </c>
      <c r="L76" s="30" t="n"/>
      <c r="M76" s="55">
        <f>L76/0.2</f>
        <v/>
      </c>
      <c r="N76" s="55">
        <f>M76*1.2</f>
        <v/>
      </c>
      <c r="O76" s="31">
        <f>G76+J76+M76</f>
        <v/>
      </c>
      <c r="P76" s="31">
        <f>H76+K76+N76</f>
        <v/>
      </c>
    </row>
    <row r="77">
      <c r="B77" s="13" t="n">
        <v>73</v>
      </c>
      <c r="C77" s="57" t="n"/>
      <c r="D77" s="62" t="n"/>
      <c r="E77" s="58" t="n"/>
      <c r="F77" s="30" t="n"/>
      <c r="G77" s="55">
        <f>F77/0.01</f>
        <v/>
      </c>
      <c r="H77" s="55">
        <f>G77*1.01</f>
        <v/>
      </c>
      <c r="I77" s="30" t="n"/>
      <c r="J77" s="55">
        <f>I77/0.1</f>
        <v/>
      </c>
      <c r="K77" s="55">
        <f>J77*1.1</f>
        <v/>
      </c>
      <c r="L77" s="30" t="n"/>
      <c r="M77" s="55">
        <f>L77/0.2</f>
        <v/>
      </c>
      <c r="N77" s="55">
        <f>M77*1.2</f>
        <v/>
      </c>
      <c r="O77" s="31">
        <f>G77+J77+M77</f>
        <v/>
      </c>
      <c r="P77" s="31">
        <f>H77+K77+N77</f>
        <v/>
      </c>
    </row>
    <row r="78">
      <c r="B78" s="13" t="n">
        <v>74</v>
      </c>
      <c r="C78" s="57" t="n"/>
      <c r="D78" s="62" t="n"/>
      <c r="E78" s="58" t="n"/>
      <c r="F78" s="30" t="n"/>
      <c r="G78" s="55">
        <f>F78/0.01</f>
        <v/>
      </c>
      <c r="H78" s="55">
        <f>G78*1.01</f>
        <v/>
      </c>
      <c r="I78" s="30" t="n"/>
      <c r="J78" s="55">
        <f>I78/0.1</f>
        <v/>
      </c>
      <c r="K78" s="55">
        <f>J78*1.1</f>
        <v/>
      </c>
      <c r="L78" s="30" t="n"/>
      <c r="M78" s="55">
        <f>L78/0.2</f>
        <v/>
      </c>
      <c r="N78" s="55">
        <f>M78*1.2</f>
        <v/>
      </c>
      <c r="O78" s="31">
        <f>G78+J78+M78</f>
        <v/>
      </c>
      <c r="P78" s="31">
        <f>H78+K78+N78</f>
        <v/>
      </c>
    </row>
    <row r="79">
      <c r="B79" s="13" t="n">
        <v>75</v>
      </c>
      <c r="C79" s="57" t="n"/>
      <c r="D79" s="62" t="n"/>
      <c r="E79" s="58" t="n"/>
      <c r="F79" s="30" t="n"/>
      <c r="G79" s="55">
        <f>F79/0.01</f>
        <v/>
      </c>
      <c r="H79" s="55">
        <f>G79*1.01</f>
        <v/>
      </c>
      <c r="I79" s="30" t="n"/>
      <c r="J79" s="55">
        <f>I79/0.1</f>
        <v/>
      </c>
      <c r="K79" s="55">
        <f>J79*1.1</f>
        <v/>
      </c>
      <c r="L79" s="30" t="n"/>
      <c r="M79" s="55">
        <f>L79/0.2</f>
        <v/>
      </c>
      <c r="N79" s="55">
        <f>M79*1.2</f>
        <v/>
      </c>
      <c r="O79" s="31">
        <f>G79+J79+M79</f>
        <v/>
      </c>
      <c r="P79" s="31">
        <f>H79+K79+N79</f>
        <v/>
      </c>
    </row>
    <row r="80">
      <c r="B80" s="13" t="n">
        <v>76</v>
      </c>
      <c r="C80" s="57" t="n"/>
      <c r="D80" s="62" t="n"/>
      <c r="E80" s="58" t="n"/>
      <c r="F80" s="30" t="n"/>
      <c r="G80" s="55">
        <f>F80/0.01</f>
        <v/>
      </c>
      <c r="H80" s="55">
        <f>G80*1.01</f>
        <v/>
      </c>
      <c r="I80" s="30" t="n"/>
      <c r="J80" s="55">
        <f>I80/0.1</f>
        <v/>
      </c>
      <c r="K80" s="55">
        <f>J80*1.1</f>
        <v/>
      </c>
      <c r="L80" s="30" t="n"/>
      <c r="M80" s="55">
        <f>L80/0.2</f>
        <v/>
      </c>
      <c r="N80" s="55">
        <f>M80*1.2</f>
        <v/>
      </c>
      <c r="O80" s="31">
        <f>G80+J80+M80</f>
        <v/>
      </c>
      <c r="P80" s="31">
        <f>H80+K80+N80</f>
        <v/>
      </c>
    </row>
    <row r="81">
      <c r="B81" s="13" t="n">
        <v>77</v>
      </c>
      <c r="C81" s="57" t="n"/>
      <c r="D81" s="62" t="n"/>
      <c r="E81" s="58" t="n"/>
      <c r="F81" s="30" t="n"/>
      <c r="G81" s="55">
        <f>F81/0.01</f>
        <v/>
      </c>
      <c r="H81" s="55">
        <f>G81*1.01</f>
        <v/>
      </c>
      <c r="I81" s="30" t="n"/>
      <c r="J81" s="55">
        <f>I81/0.1</f>
        <v/>
      </c>
      <c r="K81" s="55">
        <f>J81*1.1</f>
        <v/>
      </c>
      <c r="L81" s="30" t="n"/>
      <c r="M81" s="55">
        <f>L81/0.2</f>
        <v/>
      </c>
      <c r="N81" s="55">
        <f>M81*1.2</f>
        <v/>
      </c>
      <c r="O81" s="31">
        <f>G81+J81+M81</f>
        <v/>
      </c>
      <c r="P81" s="31">
        <f>H81+K81+N81</f>
        <v/>
      </c>
    </row>
    <row r="82">
      <c r="B82" s="13" t="n">
        <v>78</v>
      </c>
      <c r="C82" s="57" t="n"/>
      <c r="D82" s="62" t="n"/>
      <c r="E82" s="58" t="n"/>
      <c r="F82" s="30" t="n"/>
      <c r="G82" s="55">
        <f>F82/0.01</f>
        <v/>
      </c>
      <c r="H82" s="55">
        <f>G82*1.01</f>
        <v/>
      </c>
      <c r="I82" s="30" t="n"/>
      <c r="J82" s="55">
        <f>I82/0.1</f>
        <v/>
      </c>
      <c r="K82" s="55">
        <f>J82*1.1</f>
        <v/>
      </c>
      <c r="L82" s="30" t="n"/>
      <c r="M82" s="55">
        <f>L82/0.2</f>
        <v/>
      </c>
      <c r="N82" s="55">
        <f>M82*1.2</f>
        <v/>
      </c>
      <c r="O82" s="31">
        <f>G82+J82+M82</f>
        <v/>
      </c>
      <c r="P82" s="31">
        <f>H82+K82+N82</f>
        <v/>
      </c>
    </row>
    <row r="83">
      <c r="B83" s="13" t="n">
        <v>79</v>
      </c>
      <c r="C83" s="57" t="n"/>
      <c r="D83" s="62" t="n"/>
      <c r="E83" s="58" t="n"/>
      <c r="F83" s="30" t="n"/>
      <c r="G83" s="55">
        <f>F83/0.01</f>
        <v/>
      </c>
      <c r="H83" s="55">
        <f>G83*1.01</f>
        <v/>
      </c>
      <c r="I83" s="30" t="n"/>
      <c r="J83" s="55">
        <f>I83/0.1</f>
        <v/>
      </c>
      <c r="K83" s="55">
        <f>J83*1.1</f>
        <v/>
      </c>
      <c r="L83" s="30" t="n"/>
      <c r="M83" s="55">
        <f>L83/0.2</f>
        <v/>
      </c>
      <c r="N83" s="55">
        <f>M83*1.2</f>
        <v/>
      </c>
      <c r="O83" s="31">
        <f>G83+J83+M83</f>
        <v/>
      </c>
      <c r="P83" s="31">
        <f>H83+K83+N83</f>
        <v/>
      </c>
    </row>
    <row r="84">
      <c r="B84" s="13" t="n">
        <v>80</v>
      </c>
      <c r="C84" s="57" t="n"/>
      <c r="D84" s="62" t="n"/>
      <c r="E84" s="58" t="n"/>
      <c r="F84" s="30" t="n"/>
      <c r="G84" s="55">
        <f>F84/0.01</f>
        <v/>
      </c>
      <c r="H84" s="55">
        <f>G84*1.01</f>
        <v/>
      </c>
      <c r="I84" s="30" t="n"/>
      <c r="J84" s="55">
        <f>I84/0.1</f>
        <v/>
      </c>
      <c r="K84" s="55">
        <f>J84*1.1</f>
        <v/>
      </c>
      <c r="L84" s="30" t="n"/>
      <c r="M84" s="55">
        <f>L84/0.2</f>
        <v/>
      </c>
      <c r="N84" s="55">
        <f>M84*1.2</f>
        <v/>
      </c>
      <c r="O84" s="31">
        <f>G84+J84+M84</f>
        <v/>
      </c>
      <c r="P84" s="31">
        <f>H84+K84+N84</f>
        <v/>
      </c>
    </row>
    <row r="85" ht="13.5" customHeight="1" thickBot="1">
      <c r="B85" s="33" t="n"/>
      <c r="C85" s="57" t="n"/>
      <c r="D85" s="63" t="n"/>
      <c r="E85" s="36" t="n"/>
      <c r="F85" s="56">
        <f>SUM(F5:F84)</f>
        <v/>
      </c>
      <c r="G85" s="56">
        <f>SUM(G5:G84)</f>
        <v/>
      </c>
      <c r="H85" s="56">
        <f>SUM(H5:H84)</f>
        <v/>
      </c>
      <c r="I85" s="56">
        <f>SUM(I5:I84)</f>
        <v/>
      </c>
      <c r="J85" s="56">
        <f>SUM(J5:J84)</f>
        <v/>
      </c>
      <c r="K85" s="56">
        <f>SUM(K5:K84)</f>
        <v/>
      </c>
      <c r="L85" s="56">
        <f>SUM(L5:L84)</f>
        <v/>
      </c>
      <c r="M85" s="56">
        <f>SUM(M5:M84)</f>
        <v/>
      </c>
      <c r="N85" s="56">
        <f>SUM(N5:N84)</f>
        <v/>
      </c>
      <c r="O85" s="56">
        <f>SUM(O5:O84)</f>
        <v/>
      </c>
      <c r="P85" s="56">
        <f>SUM(P5:P84)</f>
        <v/>
      </c>
    </row>
    <row r="86" ht="13.5" customHeight="1" thickBot="1">
      <c r="C86" s="34" t="n"/>
    </row>
    <row r="91">
      <c r="E91" s="22" t="n"/>
    </row>
    <row r="93">
      <c r="G93" s="5" t="inlineStr">
        <is>
          <t xml:space="preserve"> </t>
        </is>
      </c>
    </row>
  </sheetData>
  <mergeCells count="4">
    <mergeCell ref="I3:K3"/>
    <mergeCell ref="F3:H3"/>
    <mergeCell ref="L3:N3"/>
    <mergeCell ref="O3:P3"/>
  </mergeCells>
  <pageMargins left="0.02362204724409449" right="0.2362204724409449" top="0.3937007874015748" bottom="0.2755905511811024" header="0.2362204724409449" footer="0.1574803149606299"/>
  <pageSetup orientation="portrait" paperSize="9" scale="5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93"/>
  <sheetViews>
    <sheetView topLeftCell="A6" workbookViewId="0">
      <selection activeCell="G7" sqref="G7"/>
    </sheetView>
  </sheetViews>
  <sheetFormatPr baseColWidth="8" defaultRowHeight="12.75"/>
  <cols>
    <col width="6.5703125" bestFit="1" customWidth="1" style="1" min="2" max="2"/>
    <col width="9.7109375" bestFit="1" customWidth="1" min="3" max="3"/>
    <col width="23.42578125" bestFit="1" customWidth="1" min="5" max="5"/>
    <col width="10.42578125" bestFit="1" customWidth="1" min="7" max="7"/>
    <col width="11" bestFit="1" customWidth="1" min="8" max="8"/>
  </cols>
  <sheetData>
    <row r="3" ht="15" customHeight="1">
      <c r="B3" s="15" t="inlineStr">
        <is>
          <t xml:space="preserve">HAZIRLAYAN: </t>
        </is>
      </c>
      <c r="C3" s="15" t="n"/>
      <c r="D3" s="4" t="n"/>
    </row>
    <row r="4" ht="4.5" customHeight="1" thickBot="1">
      <c r="B4" s="15" t="n"/>
      <c r="C4" s="15" t="n"/>
      <c r="D4" s="4" t="n"/>
    </row>
    <row r="5" ht="14.25" customHeight="1" thickBot="1" thickTop="1">
      <c r="F5" s="77" t="n">
        <v>0.2</v>
      </c>
      <c r="G5" s="78" t="n"/>
      <c r="H5" s="79" t="n"/>
      <c r="I5" s="76" t="inlineStr">
        <is>
          <t>GENEL TOPLAM</t>
        </is>
      </c>
      <c r="J5" s="75" t="n"/>
    </row>
    <row r="6" ht="19.5" customFormat="1" customHeight="1" s="41">
      <c r="B6" s="45" t="inlineStr">
        <is>
          <t>Sıra No</t>
        </is>
      </c>
      <c r="C6" s="44" t="inlineStr">
        <is>
          <t xml:space="preserve"> Tarih</t>
        </is>
      </c>
      <c r="D6" s="45" t="inlineStr">
        <is>
          <t>Sıra No</t>
        </is>
      </c>
      <c r="E6" s="45" t="inlineStr">
        <is>
          <t>Satıcının Adı-Soyadı / Ünvanı</t>
        </is>
      </c>
      <c r="F6" s="45" t="inlineStr">
        <is>
          <t>Kdv %20</t>
        </is>
      </c>
      <c r="G6" s="45" t="inlineStr">
        <is>
          <t>Matrah %20</t>
        </is>
      </c>
      <c r="H6" s="46" t="inlineStr">
        <is>
          <t>Toplam
%20</t>
        </is>
      </c>
      <c r="I6" s="11" t="inlineStr">
        <is>
          <t>MATRAH</t>
        </is>
      </c>
      <c r="J6" s="12" t="inlineStr">
        <is>
          <t>GENEL</t>
        </is>
      </c>
    </row>
    <row r="7">
      <c r="B7" s="47" t="n">
        <v>1</v>
      </c>
      <c r="C7" s="57" t="n"/>
      <c r="D7" s="51" t="n"/>
      <c r="E7" s="58" t="n"/>
      <c r="F7" s="30" t="n"/>
      <c r="G7" s="55">
        <f>F7/0.2</f>
        <v/>
      </c>
      <c r="H7" s="55">
        <f>G7*1.2</f>
        <v/>
      </c>
      <c r="I7" s="31">
        <f>G7</f>
        <v/>
      </c>
      <c r="J7" s="31">
        <f>H7</f>
        <v/>
      </c>
    </row>
    <row r="8">
      <c r="B8" s="47" t="n">
        <v>2</v>
      </c>
      <c r="C8" s="57" t="n"/>
      <c r="D8" s="51" t="n"/>
      <c r="E8" s="58" t="n"/>
      <c r="F8" s="30" t="n"/>
      <c r="G8" s="55">
        <f>F8/0.2</f>
        <v/>
      </c>
      <c r="H8" s="55">
        <f>G8*1.2</f>
        <v/>
      </c>
      <c r="I8" s="31">
        <f>G8</f>
        <v/>
      </c>
      <c r="J8" s="31">
        <f>H8</f>
        <v/>
      </c>
    </row>
    <row r="9">
      <c r="B9" s="47" t="n">
        <v>3</v>
      </c>
      <c r="C9" s="57" t="n"/>
      <c r="D9" s="51" t="n"/>
      <c r="E9" s="58" t="n"/>
      <c r="F9" s="30" t="n"/>
      <c r="G9" s="55">
        <f>F9/0.2</f>
        <v/>
      </c>
      <c r="H9" s="55">
        <f>G9*1.2</f>
        <v/>
      </c>
      <c r="I9" s="31">
        <f>G9</f>
        <v/>
      </c>
      <c r="J9" s="31">
        <f>H9</f>
        <v/>
      </c>
    </row>
    <row r="10">
      <c r="B10" s="47" t="n">
        <v>4</v>
      </c>
      <c r="C10" s="57" t="n"/>
      <c r="D10" s="51" t="n"/>
      <c r="E10" s="58" t="n"/>
      <c r="F10" s="30" t="n"/>
      <c r="G10" s="55">
        <f>F10/0.2</f>
        <v/>
      </c>
      <c r="H10" s="55">
        <f>G10*1.2</f>
        <v/>
      </c>
      <c r="I10" s="31">
        <f>G10</f>
        <v/>
      </c>
      <c r="J10" s="31">
        <f>H10</f>
        <v/>
      </c>
    </row>
    <row r="11">
      <c r="B11" s="47" t="n">
        <v>5</v>
      </c>
      <c r="C11" s="57" t="n"/>
      <c r="D11" s="51" t="n"/>
      <c r="E11" s="58" t="n"/>
      <c r="F11" s="30" t="n"/>
      <c r="G11" s="55">
        <f>F11/0.2</f>
        <v/>
      </c>
      <c r="H11" s="55">
        <f>G11*1.2</f>
        <v/>
      </c>
      <c r="I11" s="31">
        <f>G11</f>
        <v/>
      </c>
      <c r="J11" s="31">
        <f>H11</f>
        <v/>
      </c>
    </row>
    <row r="12">
      <c r="B12" s="47" t="n">
        <v>6</v>
      </c>
      <c r="C12" s="57" t="n"/>
      <c r="D12" s="51" t="n"/>
      <c r="E12" s="58" t="n"/>
      <c r="F12" s="30" t="n"/>
      <c r="G12" s="55">
        <f>F12/0.2</f>
        <v/>
      </c>
      <c r="H12" s="55">
        <f>G12*1.2</f>
        <v/>
      </c>
      <c r="I12" s="31">
        <f>G12</f>
        <v/>
      </c>
      <c r="J12" s="31">
        <f>H12</f>
        <v/>
      </c>
    </row>
    <row r="13">
      <c r="B13" s="47" t="n">
        <v>7</v>
      </c>
      <c r="C13" s="57" t="n"/>
      <c r="D13" s="51" t="n"/>
      <c r="E13" s="58" t="n"/>
      <c r="F13" s="30" t="n"/>
      <c r="G13" s="55">
        <f>F13/0.2</f>
        <v/>
      </c>
      <c r="H13" s="55">
        <f>G13*1.2</f>
        <v/>
      </c>
      <c r="I13" s="31">
        <f>G13</f>
        <v/>
      </c>
      <c r="J13" s="31">
        <f>H13</f>
        <v/>
      </c>
    </row>
    <row r="14">
      <c r="B14" s="47" t="n">
        <v>8</v>
      </c>
      <c r="C14" s="57" t="n"/>
      <c r="D14" s="51" t="n"/>
      <c r="E14" s="58" t="n"/>
      <c r="F14" s="30" t="n"/>
      <c r="G14" s="55">
        <f>F14/0.2</f>
        <v/>
      </c>
      <c r="H14" s="55">
        <f>G14*1.2</f>
        <v/>
      </c>
      <c r="I14" s="31">
        <f>G14</f>
        <v/>
      </c>
      <c r="J14" s="31">
        <f>H14</f>
        <v/>
      </c>
    </row>
    <row r="15">
      <c r="B15" s="47" t="n">
        <v>9</v>
      </c>
      <c r="C15" s="57" t="n"/>
      <c r="D15" s="51" t="n"/>
      <c r="E15" s="58" t="n"/>
      <c r="F15" s="30" t="n"/>
      <c r="G15" s="55">
        <f>F15/0.2</f>
        <v/>
      </c>
      <c r="H15" s="55">
        <f>G15*1.2</f>
        <v/>
      </c>
      <c r="I15" s="31">
        <f>G15</f>
        <v/>
      </c>
      <c r="J15" s="31">
        <f>H15</f>
        <v/>
      </c>
    </row>
    <row r="16">
      <c r="B16" s="47" t="n">
        <v>10</v>
      </c>
      <c r="C16" s="57" t="n"/>
      <c r="D16" s="51" t="n"/>
      <c r="E16" s="58" t="n"/>
      <c r="F16" s="30" t="n"/>
      <c r="G16" s="55">
        <f>F16/0.2</f>
        <v/>
      </c>
      <c r="H16" s="55">
        <f>G16*1.2</f>
        <v/>
      </c>
      <c r="I16" s="31">
        <f>G16</f>
        <v/>
      </c>
      <c r="J16" s="31">
        <f>H16</f>
        <v/>
      </c>
    </row>
    <row r="17">
      <c r="B17" s="47" t="n">
        <v>11</v>
      </c>
      <c r="C17" s="57" t="n"/>
      <c r="D17" s="51" t="n"/>
      <c r="E17" s="58" t="n"/>
      <c r="F17" s="30" t="n"/>
      <c r="G17" s="55">
        <f>F17/0.2</f>
        <v/>
      </c>
      <c r="H17" s="55">
        <f>G17*1.2</f>
        <v/>
      </c>
      <c r="I17" s="31">
        <f>G17</f>
        <v/>
      </c>
      <c r="J17" s="31">
        <f>H17</f>
        <v/>
      </c>
    </row>
    <row r="18">
      <c r="B18" s="47" t="n">
        <v>12</v>
      </c>
      <c r="C18" s="57" t="n"/>
      <c r="D18" s="51" t="n"/>
      <c r="E18" s="58" t="n"/>
      <c r="F18" s="30" t="n"/>
      <c r="G18" s="55">
        <f>F18/0.2</f>
        <v/>
      </c>
      <c r="H18" s="55">
        <f>G18*1.2</f>
        <v/>
      </c>
      <c r="I18" s="31">
        <f>G18</f>
        <v/>
      </c>
      <c r="J18" s="31">
        <f>H18</f>
        <v/>
      </c>
    </row>
    <row r="19">
      <c r="B19" s="47" t="n">
        <v>13</v>
      </c>
      <c r="C19" s="57" t="n"/>
      <c r="D19" s="51" t="n"/>
      <c r="E19" s="58" t="n"/>
      <c r="F19" s="30" t="n"/>
      <c r="G19" s="55">
        <f>F19/0.2</f>
        <v/>
      </c>
      <c r="H19" s="55">
        <f>G19*1.2</f>
        <v/>
      </c>
      <c r="I19" s="31">
        <f>G19</f>
        <v/>
      </c>
      <c r="J19" s="31">
        <f>H19</f>
        <v/>
      </c>
    </row>
    <row r="20">
      <c r="B20" s="47" t="n">
        <v>14</v>
      </c>
      <c r="C20" s="57" t="n"/>
      <c r="D20" s="51" t="n"/>
      <c r="E20" s="58" t="n"/>
      <c r="F20" s="30" t="n"/>
      <c r="G20" s="55">
        <f>F20/0.2</f>
        <v/>
      </c>
      <c r="H20" s="55">
        <f>G20*1.2</f>
        <v/>
      </c>
      <c r="I20" s="31">
        <f>G20</f>
        <v/>
      </c>
      <c r="J20" s="31">
        <f>H20</f>
        <v/>
      </c>
    </row>
    <row r="21">
      <c r="B21" s="47" t="n">
        <v>15</v>
      </c>
      <c r="C21" s="57" t="n"/>
      <c r="D21" s="51" t="n"/>
      <c r="E21" s="58" t="n"/>
      <c r="F21" s="30" t="n"/>
      <c r="G21" s="55">
        <f>F21/0.2</f>
        <v/>
      </c>
      <c r="H21" s="55">
        <f>G21*1.2</f>
        <v/>
      </c>
      <c r="I21" s="31">
        <f>G21</f>
        <v/>
      </c>
      <c r="J21" s="31">
        <f>H21</f>
        <v/>
      </c>
    </row>
    <row r="22">
      <c r="B22" s="47" t="n">
        <v>16</v>
      </c>
      <c r="C22" s="57" t="n"/>
      <c r="D22" s="51" t="n"/>
      <c r="E22" s="58" t="n"/>
      <c r="F22" s="30" t="n"/>
      <c r="G22" s="55">
        <f>F22/0.2</f>
        <v/>
      </c>
      <c r="H22" s="55">
        <f>G22*1.2</f>
        <v/>
      </c>
      <c r="I22" s="31">
        <f>G22</f>
        <v/>
      </c>
      <c r="J22" s="31">
        <f>H22</f>
        <v/>
      </c>
    </row>
    <row r="23">
      <c r="B23" s="47" t="n">
        <v>17</v>
      </c>
      <c r="C23" s="57" t="n"/>
      <c r="D23" s="51" t="n"/>
      <c r="E23" s="58" t="n"/>
      <c r="F23" s="30" t="n"/>
      <c r="G23" s="55">
        <f>F23/0.2</f>
        <v/>
      </c>
      <c r="H23" s="55">
        <f>G23*1.2</f>
        <v/>
      </c>
      <c r="I23" s="31">
        <f>G23</f>
        <v/>
      </c>
      <c r="J23" s="31">
        <f>H23</f>
        <v/>
      </c>
    </row>
    <row r="24">
      <c r="B24" s="47" t="n">
        <v>18</v>
      </c>
      <c r="C24" s="57" t="n"/>
      <c r="D24" s="51" t="n"/>
      <c r="E24" s="58" t="n"/>
      <c r="F24" s="30" t="n"/>
      <c r="G24" s="55">
        <f>F24/0.2</f>
        <v/>
      </c>
      <c r="H24" s="55">
        <f>G24*1.2</f>
        <v/>
      </c>
      <c r="I24" s="31">
        <f>G24</f>
        <v/>
      </c>
      <c r="J24" s="31">
        <f>H24</f>
        <v/>
      </c>
    </row>
    <row r="25">
      <c r="B25" s="47" t="n">
        <v>19</v>
      </c>
      <c r="C25" s="57" t="n"/>
      <c r="D25" s="51" t="n"/>
      <c r="E25" s="58" t="n"/>
      <c r="F25" s="30" t="n"/>
      <c r="G25" s="55">
        <f>F25/0.2</f>
        <v/>
      </c>
      <c r="H25" s="55">
        <f>G25*1.2</f>
        <v/>
      </c>
      <c r="I25" s="31">
        <f>G25</f>
        <v/>
      </c>
      <c r="J25" s="31">
        <f>H25</f>
        <v/>
      </c>
    </row>
    <row r="26">
      <c r="B26" s="47" t="n">
        <v>20</v>
      </c>
      <c r="C26" s="57" t="n"/>
      <c r="D26" s="51" t="n"/>
      <c r="E26" s="58" t="n"/>
      <c r="F26" s="30" t="n"/>
      <c r="G26" s="55">
        <f>F26/0.2</f>
        <v/>
      </c>
      <c r="H26" s="55">
        <f>G26*1.2</f>
        <v/>
      </c>
      <c r="I26" s="31">
        <f>G26</f>
        <v/>
      </c>
      <c r="J26" s="31">
        <f>H26</f>
        <v/>
      </c>
    </row>
    <row r="27">
      <c r="B27" s="47" t="n">
        <v>21</v>
      </c>
      <c r="C27" s="57" t="n"/>
      <c r="D27" s="51" t="n"/>
      <c r="E27" s="58" t="n"/>
      <c r="F27" s="30" t="n"/>
      <c r="G27" s="55">
        <f>F27/0.2</f>
        <v/>
      </c>
      <c r="H27" s="55">
        <f>G27*1.2</f>
        <v/>
      </c>
      <c r="I27" s="31">
        <f>G27</f>
        <v/>
      </c>
      <c r="J27" s="31">
        <f>H27</f>
        <v/>
      </c>
    </row>
    <row r="28">
      <c r="B28" s="47" t="n">
        <v>22</v>
      </c>
      <c r="C28" s="57" t="n"/>
      <c r="D28" s="51" t="n"/>
      <c r="E28" s="58" t="n"/>
      <c r="F28" s="30" t="n"/>
      <c r="G28" s="55">
        <f>F28/0.2</f>
        <v/>
      </c>
      <c r="H28" s="55">
        <f>G28*1.2</f>
        <v/>
      </c>
      <c r="I28" s="31">
        <f>G28</f>
        <v/>
      </c>
      <c r="J28" s="31">
        <f>H28</f>
        <v/>
      </c>
    </row>
    <row r="29">
      <c r="B29" s="47" t="n">
        <v>23</v>
      </c>
      <c r="C29" s="57" t="n"/>
      <c r="D29" s="51" t="n"/>
      <c r="E29" s="58" t="n"/>
      <c r="F29" s="30" t="n"/>
      <c r="G29" s="55">
        <f>F29/0.2</f>
        <v/>
      </c>
      <c r="H29" s="55">
        <f>G29*1.2</f>
        <v/>
      </c>
      <c r="I29" s="31">
        <f>G29</f>
        <v/>
      </c>
      <c r="J29" s="31">
        <f>H29</f>
        <v/>
      </c>
    </row>
    <row r="30">
      <c r="B30" s="47" t="n">
        <v>24</v>
      </c>
      <c r="C30" s="57" t="n"/>
      <c r="D30" s="51" t="n"/>
      <c r="E30" s="58" t="n"/>
      <c r="F30" s="30" t="n"/>
      <c r="G30" s="55">
        <f>F30/0.2</f>
        <v/>
      </c>
      <c r="H30" s="55">
        <f>G30*1.2</f>
        <v/>
      </c>
      <c r="I30" s="31">
        <f>G30</f>
        <v/>
      </c>
      <c r="J30" s="31">
        <f>H30</f>
        <v/>
      </c>
    </row>
    <row r="31">
      <c r="B31" s="47" t="n">
        <v>25</v>
      </c>
      <c r="C31" s="57" t="n"/>
      <c r="D31" s="51" t="n"/>
      <c r="E31" s="58" t="n"/>
      <c r="F31" s="30" t="n"/>
      <c r="G31" s="55">
        <f>F31/0.2</f>
        <v/>
      </c>
      <c r="H31" s="55">
        <f>G31*1.2</f>
        <v/>
      </c>
      <c r="I31" s="31">
        <f>G31</f>
        <v/>
      </c>
      <c r="J31" s="31">
        <f>H31</f>
        <v/>
      </c>
    </row>
    <row r="32">
      <c r="B32" s="47" t="n">
        <v>26</v>
      </c>
      <c r="C32" s="57" t="n"/>
      <c r="D32" s="51" t="n"/>
      <c r="E32" s="58" t="n"/>
      <c r="F32" s="30" t="n"/>
      <c r="G32" s="55">
        <f>F32/0.2</f>
        <v/>
      </c>
      <c r="H32" s="55">
        <f>G32*1.2</f>
        <v/>
      </c>
      <c r="I32" s="31">
        <f>G32</f>
        <v/>
      </c>
      <c r="J32" s="31">
        <f>H32</f>
        <v/>
      </c>
    </row>
    <row r="33">
      <c r="B33" s="47" t="n">
        <v>27</v>
      </c>
      <c r="C33" s="57" t="n"/>
      <c r="D33" s="51" t="n"/>
      <c r="E33" s="58" t="n"/>
      <c r="F33" s="30" t="n"/>
      <c r="G33" s="55">
        <f>F33/0.2</f>
        <v/>
      </c>
      <c r="H33" s="55">
        <f>G33*1.2</f>
        <v/>
      </c>
      <c r="I33" s="31">
        <f>G33</f>
        <v/>
      </c>
      <c r="J33" s="31">
        <f>H33</f>
        <v/>
      </c>
    </row>
    <row r="34">
      <c r="B34" s="47" t="n">
        <v>28</v>
      </c>
      <c r="C34" s="57" t="n"/>
      <c r="D34" s="51" t="n"/>
      <c r="E34" s="58" t="n"/>
      <c r="F34" s="30" t="n"/>
      <c r="G34" s="55">
        <f>F34/0.2</f>
        <v/>
      </c>
      <c r="H34" s="55">
        <f>G34*1.2</f>
        <v/>
      </c>
      <c r="I34" s="31">
        <f>G34</f>
        <v/>
      </c>
      <c r="J34" s="31">
        <f>H34</f>
        <v/>
      </c>
    </row>
    <row r="35">
      <c r="B35" s="47" t="n">
        <v>29</v>
      </c>
      <c r="C35" s="57" t="n"/>
      <c r="D35" s="51" t="n"/>
      <c r="E35" s="58" t="n"/>
      <c r="F35" s="30" t="n"/>
      <c r="G35" s="55">
        <f>F35/0.2</f>
        <v/>
      </c>
      <c r="H35" s="55">
        <f>G35*1.2</f>
        <v/>
      </c>
      <c r="I35" s="31">
        <f>G35</f>
        <v/>
      </c>
      <c r="J35" s="31">
        <f>H35</f>
        <v/>
      </c>
    </row>
    <row r="36">
      <c r="B36" s="47" t="n">
        <v>30</v>
      </c>
      <c r="C36" s="57" t="n"/>
      <c r="D36" s="51" t="n"/>
      <c r="E36" s="58" t="n"/>
      <c r="F36" s="30" t="n"/>
      <c r="G36" s="55">
        <f>F36/0.2</f>
        <v/>
      </c>
      <c r="H36" s="55">
        <f>G36*1.2</f>
        <v/>
      </c>
      <c r="I36" s="31">
        <f>G36</f>
        <v/>
      </c>
      <c r="J36" s="31">
        <f>H36</f>
        <v/>
      </c>
    </row>
    <row r="37">
      <c r="B37" s="47" t="n">
        <v>31</v>
      </c>
      <c r="C37" s="57" t="n"/>
      <c r="D37" s="51" t="n"/>
      <c r="E37" s="58" t="n"/>
      <c r="F37" s="30" t="n"/>
      <c r="G37" s="55">
        <f>F37/0.2</f>
        <v/>
      </c>
      <c r="H37" s="55">
        <f>G37*1.2</f>
        <v/>
      </c>
      <c r="I37" s="31">
        <f>G37</f>
        <v/>
      </c>
      <c r="J37" s="31">
        <f>H37</f>
        <v/>
      </c>
    </row>
    <row r="38">
      <c r="B38" s="47" t="n">
        <v>32</v>
      </c>
      <c r="C38" s="57" t="n"/>
      <c r="D38" s="51" t="n"/>
      <c r="E38" s="58" t="n"/>
      <c r="F38" s="30" t="n"/>
      <c r="G38" s="55">
        <f>F38/0.2</f>
        <v/>
      </c>
      <c r="H38" s="55">
        <f>G38*1.2</f>
        <v/>
      </c>
      <c r="I38" s="31">
        <f>G38</f>
        <v/>
      </c>
      <c r="J38" s="31">
        <f>H38</f>
        <v/>
      </c>
    </row>
    <row r="39">
      <c r="B39" s="47" t="n">
        <v>33</v>
      </c>
      <c r="C39" s="57" t="n"/>
      <c r="D39" s="51" t="n"/>
      <c r="E39" s="58" t="n"/>
      <c r="F39" s="30" t="n"/>
      <c r="G39" s="55">
        <f>F39/0.2</f>
        <v/>
      </c>
      <c r="H39" s="55">
        <f>G39*1.2</f>
        <v/>
      </c>
      <c r="I39" s="31">
        <f>G39</f>
        <v/>
      </c>
      <c r="J39" s="31">
        <f>H39</f>
        <v/>
      </c>
    </row>
    <row r="40">
      <c r="B40" s="47" t="n">
        <v>34</v>
      </c>
      <c r="C40" s="57" t="n"/>
      <c r="D40" s="51" t="n"/>
      <c r="E40" s="58" t="n"/>
      <c r="F40" s="30" t="n"/>
      <c r="G40" s="55">
        <f>F40/0.2</f>
        <v/>
      </c>
      <c r="H40" s="55">
        <f>G40*1.2</f>
        <v/>
      </c>
      <c r="I40" s="31">
        <f>G40</f>
        <v/>
      </c>
      <c r="J40" s="31">
        <f>H40</f>
        <v/>
      </c>
    </row>
    <row r="41">
      <c r="B41" s="47" t="n">
        <v>35</v>
      </c>
      <c r="C41" s="57" t="n"/>
      <c r="D41" s="51" t="n"/>
      <c r="E41" s="58" t="n"/>
      <c r="F41" s="30" t="n"/>
      <c r="G41" s="55">
        <f>F41/0.2</f>
        <v/>
      </c>
      <c r="H41" s="55">
        <f>G41*1.2</f>
        <v/>
      </c>
      <c r="I41" s="31">
        <f>G41</f>
        <v/>
      </c>
      <c r="J41" s="31">
        <f>H41</f>
        <v/>
      </c>
    </row>
    <row r="42">
      <c r="B42" s="47" t="n">
        <v>36</v>
      </c>
      <c r="C42" s="57" t="n"/>
      <c r="D42" s="51" t="n"/>
      <c r="E42" s="58" t="n"/>
      <c r="F42" s="30" t="n"/>
      <c r="G42" s="55">
        <f>F42/0.2</f>
        <v/>
      </c>
      <c r="H42" s="55">
        <f>G42*1.2</f>
        <v/>
      </c>
      <c r="I42" s="31">
        <f>G42</f>
        <v/>
      </c>
      <c r="J42" s="31">
        <f>H42</f>
        <v/>
      </c>
    </row>
    <row r="43">
      <c r="B43" s="47" t="n">
        <v>37</v>
      </c>
      <c r="C43" s="57" t="n"/>
      <c r="D43" s="51" t="n"/>
      <c r="E43" s="58" t="n"/>
      <c r="F43" s="30" t="n"/>
      <c r="G43" s="55">
        <f>F43/0.2</f>
        <v/>
      </c>
      <c r="H43" s="55">
        <f>G43*1.2</f>
        <v/>
      </c>
      <c r="I43" s="31">
        <f>G43</f>
        <v/>
      </c>
      <c r="J43" s="31">
        <f>H43</f>
        <v/>
      </c>
    </row>
    <row r="44">
      <c r="B44" s="47" t="n">
        <v>38</v>
      </c>
      <c r="C44" s="57" t="n"/>
      <c r="D44" s="51" t="n"/>
      <c r="E44" s="58" t="n"/>
      <c r="F44" s="30" t="n"/>
      <c r="G44" s="55">
        <f>F44/0.2</f>
        <v/>
      </c>
      <c r="H44" s="55">
        <f>G44*1.2</f>
        <v/>
      </c>
      <c r="I44" s="31">
        <f>G44</f>
        <v/>
      </c>
      <c r="J44" s="31">
        <f>H44</f>
        <v/>
      </c>
    </row>
    <row r="45">
      <c r="B45" s="47" t="n">
        <v>39</v>
      </c>
      <c r="C45" s="57" t="n"/>
      <c r="D45" s="51" t="n"/>
      <c r="E45" s="58" t="n"/>
      <c r="F45" s="30" t="n"/>
      <c r="G45" s="55">
        <f>F45/0.2</f>
        <v/>
      </c>
      <c r="H45" s="55">
        <f>G45*1.2</f>
        <v/>
      </c>
      <c r="I45" s="31">
        <f>G45</f>
        <v/>
      </c>
      <c r="J45" s="31">
        <f>H45</f>
        <v/>
      </c>
    </row>
    <row r="46">
      <c r="B46" s="47" t="n">
        <v>40</v>
      </c>
      <c r="C46" s="57" t="n"/>
      <c r="D46" s="51" t="n"/>
      <c r="E46" s="58" t="n"/>
      <c r="F46" s="30" t="n"/>
      <c r="G46" s="55">
        <f>F46/0.2</f>
        <v/>
      </c>
      <c r="H46" s="55">
        <f>G46*1.2</f>
        <v/>
      </c>
      <c r="I46" s="31">
        <f>G46</f>
        <v/>
      </c>
      <c r="J46" s="31">
        <f>H46</f>
        <v/>
      </c>
    </row>
    <row r="47">
      <c r="B47" s="47" t="n">
        <v>41</v>
      </c>
      <c r="C47" s="57" t="n"/>
      <c r="D47" s="51" t="n"/>
      <c r="E47" s="58" t="n"/>
      <c r="F47" s="30" t="n"/>
      <c r="G47" s="55">
        <f>F47/0.2</f>
        <v/>
      </c>
      <c r="H47" s="55">
        <f>G47*1.2</f>
        <v/>
      </c>
      <c r="I47" s="31">
        <f>G47</f>
        <v/>
      </c>
      <c r="J47" s="31">
        <f>H47</f>
        <v/>
      </c>
    </row>
    <row r="48">
      <c r="B48" s="47" t="n">
        <v>42</v>
      </c>
      <c r="C48" s="57" t="n"/>
      <c r="D48" s="51" t="n"/>
      <c r="E48" s="58" t="n"/>
      <c r="F48" s="30" t="n"/>
      <c r="G48" s="55">
        <f>F48/0.2</f>
        <v/>
      </c>
      <c r="H48" s="55">
        <f>G48*1.2</f>
        <v/>
      </c>
      <c r="I48" s="31">
        <f>G48</f>
        <v/>
      </c>
      <c r="J48" s="31">
        <f>H48</f>
        <v/>
      </c>
    </row>
    <row r="49">
      <c r="B49" s="47" t="n">
        <v>43</v>
      </c>
      <c r="C49" s="57" t="n"/>
      <c r="D49" s="51" t="n"/>
      <c r="E49" s="58" t="n"/>
      <c r="F49" s="30" t="n"/>
      <c r="G49" s="55">
        <f>F49/0.2</f>
        <v/>
      </c>
      <c r="H49" s="55">
        <f>G49*1.2</f>
        <v/>
      </c>
      <c r="I49" s="31">
        <f>G49</f>
        <v/>
      </c>
      <c r="J49" s="31">
        <f>H49</f>
        <v/>
      </c>
    </row>
    <row r="50">
      <c r="B50" s="47" t="n">
        <v>44</v>
      </c>
      <c r="C50" s="57" t="n"/>
      <c r="D50" s="51" t="n"/>
      <c r="E50" s="58" t="n"/>
      <c r="F50" s="30" t="n"/>
      <c r="G50" s="55">
        <f>F50/0.2</f>
        <v/>
      </c>
      <c r="H50" s="55">
        <f>G50*1.2</f>
        <v/>
      </c>
      <c r="I50" s="31">
        <f>G50</f>
        <v/>
      </c>
      <c r="J50" s="31">
        <f>H50</f>
        <v/>
      </c>
    </row>
    <row r="51">
      <c r="B51" s="47" t="n">
        <v>45</v>
      </c>
      <c r="C51" s="57" t="n"/>
      <c r="D51" s="51" t="n"/>
      <c r="E51" s="58" t="n"/>
      <c r="F51" s="30" t="n"/>
      <c r="G51" s="55">
        <f>F51/0.2</f>
        <v/>
      </c>
      <c r="H51" s="55">
        <f>G51*1.2</f>
        <v/>
      </c>
      <c r="I51" s="31">
        <f>G51</f>
        <v/>
      </c>
      <c r="J51" s="31">
        <f>H51</f>
        <v/>
      </c>
    </row>
    <row r="52">
      <c r="B52" s="47" t="n">
        <v>46</v>
      </c>
      <c r="C52" s="57" t="n"/>
      <c r="D52" s="51" t="n"/>
      <c r="E52" s="58" t="n"/>
      <c r="F52" s="30" t="n"/>
      <c r="G52" s="55">
        <f>F52/0.2</f>
        <v/>
      </c>
      <c r="H52" s="55">
        <f>G52*1.2</f>
        <v/>
      </c>
      <c r="I52" s="31">
        <f>G52</f>
        <v/>
      </c>
      <c r="J52" s="31">
        <f>H52</f>
        <v/>
      </c>
    </row>
    <row r="53">
      <c r="B53" s="47" t="n">
        <v>47</v>
      </c>
      <c r="C53" s="57" t="n"/>
      <c r="D53" s="51" t="n"/>
      <c r="E53" s="58" t="n"/>
      <c r="F53" s="30" t="n"/>
      <c r="G53" s="55">
        <f>F53/0.2</f>
        <v/>
      </c>
      <c r="H53" s="55">
        <f>G53*1.2</f>
        <v/>
      </c>
      <c r="I53" s="31">
        <f>G53</f>
        <v/>
      </c>
      <c r="J53" s="31">
        <f>H53</f>
        <v/>
      </c>
    </row>
    <row r="54">
      <c r="B54" s="47" t="n">
        <v>48</v>
      </c>
      <c r="C54" s="57" t="n"/>
      <c r="D54" s="51" t="n"/>
      <c r="E54" s="58" t="n"/>
      <c r="F54" s="30" t="n"/>
      <c r="G54" s="55">
        <f>F54/0.2</f>
        <v/>
      </c>
      <c r="H54" s="55">
        <f>G54*1.2</f>
        <v/>
      </c>
      <c r="I54" s="31">
        <f>G54</f>
        <v/>
      </c>
      <c r="J54" s="31">
        <f>H54</f>
        <v/>
      </c>
    </row>
    <row r="55">
      <c r="B55" s="47" t="n">
        <v>49</v>
      </c>
      <c r="C55" s="57" t="n"/>
      <c r="D55" s="51" t="n"/>
      <c r="E55" s="58" t="n"/>
      <c r="F55" s="30" t="n"/>
      <c r="G55" s="55">
        <f>F55/0.2</f>
        <v/>
      </c>
      <c r="H55" s="55">
        <f>G55*1.2</f>
        <v/>
      </c>
      <c r="I55" s="31">
        <f>G55</f>
        <v/>
      </c>
      <c r="J55" s="31">
        <f>H55</f>
        <v/>
      </c>
    </row>
    <row r="56">
      <c r="B56" s="47" t="n">
        <v>50</v>
      </c>
      <c r="C56" s="57" t="n"/>
      <c r="D56" s="51" t="n"/>
      <c r="E56" s="58" t="n"/>
      <c r="F56" s="30" t="n"/>
      <c r="G56" s="55">
        <f>F56/0.2</f>
        <v/>
      </c>
      <c r="H56" s="55">
        <f>G56*1.2</f>
        <v/>
      </c>
      <c r="I56" s="31">
        <f>G56</f>
        <v/>
      </c>
      <c r="J56" s="31">
        <f>H56</f>
        <v/>
      </c>
    </row>
    <row r="57">
      <c r="B57" s="47" t="n">
        <v>51</v>
      </c>
      <c r="C57" s="57" t="n"/>
      <c r="D57" s="51" t="n"/>
      <c r="E57" s="58" t="n"/>
      <c r="F57" s="30" t="n"/>
      <c r="G57" s="55">
        <f>F57/0.2</f>
        <v/>
      </c>
      <c r="H57" s="55">
        <f>G57*1.2</f>
        <v/>
      </c>
      <c r="I57" s="31">
        <f>G57</f>
        <v/>
      </c>
      <c r="J57" s="31">
        <f>H57</f>
        <v/>
      </c>
    </row>
    <row r="58">
      <c r="B58" s="47" t="n">
        <v>52</v>
      </c>
      <c r="C58" s="57" t="n"/>
      <c r="D58" s="51" t="n"/>
      <c r="E58" s="58" t="n"/>
      <c r="F58" s="30" t="n"/>
      <c r="G58" s="55">
        <f>F58/0.2</f>
        <v/>
      </c>
      <c r="H58" s="55">
        <f>G58*1.2</f>
        <v/>
      </c>
      <c r="I58" s="31">
        <f>G58</f>
        <v/>
      </c>
      <c r="J58" s="31">
        <f>H58</f>
        <v/>
      </c>
    </row>
    <row r="59">
      <c r="B59" s="47" t="n">
        <v>53</v>
      </c>
      <c r="C59" s="57" t="n"/>
      <c r="D59" s="51" t="n"/>
      <c r="E59" s="58" t="n"/>
      <c r="F59" s="30" t="n"/>
      <c r="G59" s="55">
        <f>F59/0.2</f>
        <v/>
      </c>
      <c r="H59" s="55">
        <f>G59*1.2</f>
        <v/>
      </c>
      <c r="I59" s="31">
        <f>G59</f>
        <v/>
      </c>
      <c r="J59" s="31">
        <f>H59</f>
        <v/>
      </c>
    </row>
    <row r="60">
      <c r="B60" s="47" t="n">
        <v>54</v>
      </c>
      <c r="C60" s="57" t="n"/>
      <c r="D60" s="51" t="n"/>
      <c r="E60" s="58" t="n"/>
      <c r="F60" s="30" t="n"/>
      <c r="G60" s="55">
        <f>F60/0.2</f>
        <v/>
      </c>
      <c r="H60" s="55">
        <f>G60*1.2</f>
        <v/>
      </c>
      <c r="I60" s="31">
        <f>G60</f>
        <v/>
      </c>
      <c r="J60" s="31">
        <f>H60</f>
        <v/>
      </c>
    </row>
    <row r="61">
      <c r="B61" s="47" t="n">
        <v>55</v>
      </c>
      <c r="C61" s="57" t="n"/>
      <c r="D61" s="51" t="n"/>
      <c r="E61" s="58" t="n"/>
      <c r="F61" s="30" t="n"/>
      <c r="G61" s="55">
        <f>F61/0.2</f>
        <v/>
      </c>
      <c r="H61" s="55">
        <f>G61*1.2</f>
        <v/>
      </c>
      <c r="I61" s="31">
        <f>G61</f>
        <v/>
      </c>
      <c r="J61" s="31">
        <f>H61</f>
        <v/>
      </c>
    </row>
    <row r="62">
      <c r="B62" s="47" t="n">
        <v>56</v>
      </c>
      <c r="C62" s="57" t="n"/>
      <c r="D62" s="51" t="n"/>
      <c r="E62" s="58" t="n"/>
      <c r="F62" s="30" t="n"/>
      <c r="G62" s="55">
        <f>F62/0.2</f>
        <v/>
      </c>
      <c r="H62" s="55">
        <f>G62*1.2</f>
        <v/>
      </c>
      <c r="I62" s="31">
        <f>G62</f>
        <v/>
      </c>
      <c r="J62" s="31">
        <f>H62</f>
        <v/>
      </c>
    </row>
    <row r="63">
      <c r="B63" s="47" t="n">
        <v>57</v>
      </c>
      <c r="C63" s="57" t="n"/>
      <c r="D63" s="51" t="n"/>
      <c r="E63" s="58" t="n"/>
      <c r="F63" s="30" t="n"/>
      <c r="G63" s="55">
        <f>F63/0.2</f>
        <v/>
      </c>
      <c r="H63" s="55">
        <f>G63*1.2</f>
        <v/>
      </c>
      <c r="I63" s="31">
        <f>G63</f>
        <v/>
      </c>
      <c r="J63" s="31">
        <f>H63</f>
        <v/>
      </c>
    </row>
    <row r="64">
      <c r="B64" s="47" t="n">
        <v>58</v>
      </c>
      <c r="C64" s="57" t="n"/>
      <c r="D64" s="51" t="n"/>
      <c r="E64" s="58" t="n"/>
      <c r="F64" s="30" t="n"/>
      <c r="G64" s="55">
        <f>F64/0.2</f>
        <v/>
      </c>
      <c r="H64" s="55">
        <f>G64*1.2</f>
        <v/>
      </c>
      <c r="I64" s="31">
        <f>G64</f>
        <v/>
      </c>
      <c r="J64" s="31">
        <f>H64</f>
        <v/>
      </c>
    </row>
    <row r="65">
      <c r="B65" s="47" t="n">
        <v>59</v>
      </c>
      <c r="C65" s="57" t="n"/>
      <c r="D65" s="51" t="n"/>
      <c r="E65" s="58" t="n"/>
      <c r="F65" s="30" t="n"/>
      <c r="G65" s="55">
        <f>F65/0.2</f>
        <v/>
      </c>
      <c r="H65" s="55">
        <f>G65*1.2</f>
        <v/>
      </c>
      <c r="I65" s="31">
        <f>G65</f>
        <v/>
      </c>
      <c r="J65" s="31">
        <f>H65</f>
        <v/>
      </c>
    </row>
    <row r="66">
      <c r="B66" s="47" t="n">
        <v>60</v>
      </c>
      <c r="C66" s="57" t="n"/>
      <c r="D66" s="51" t="n"/>
      <c r="E66" s="58" t="n"/>
      <c r="F66" s="30" t="n"/>
      <c r="G66" s="55">
        <f>F66/0.2</f>
        <v/>
      </c>
      <c r="H66" s="55">
        <f>G66*1.2</f>
        <v/>
      </c>
      <c r="I66" s="31">
        <f>G66</f>
        <v/>
      </c>
      <c r="J66" s="31">
        <f>H66</f>
        <v/>
      </c>
    </row>
    <row r="67" hidden="1">
      <c r="B67" s="47" t="n">
        <v>61</v>
      </c>
      <c r="C67" s="57" t="n"/>
      <c r="D67" s="51" t="n"/>
      <c r="E67" s="58" t="n"/>
      <c r="F67" s="30" t="n"/>
      <c r="G67" s="55">
        <f>F67/0.2</f>
        <v/>
      </c>
      <c r="H67" s="55">
        <f>G67*1.2</f>
        <v/>
      </c>
      <c r="I67" s="31">
        <f>G67</f>
        <v/>
      </c>
      <c r="J67" s="31">
        <f>H67</f>
        <v/>
      </c>
    </row>
    <row r="68" hidden="1">
      <c r="B68" s="47" t="n">
        <v>62</v>
      </c>
      <c r="C68" s="57" t="n"/>
      <c r="D68" s="51" t="n"/>
      <c r="E68" s="32" t="n"/>
      <c r="F68" s="30" t="n"/>
      <c r="G68" s="55">
        <f>F68/0.2</f>
        <v/>
      </c>
      <c r="H68" s="55">
        <f>G68*1.2</f>
        <v/>
      </c>
      <c r="I68" s="31">
        <f>G68</f>
        <v/>
      </c>
      <c r="J68" s="31">
        <f>H68</f>
        <v/>
      </c>
    </row>
    <row r="69" hidden="1">
      <c r="B69" s="47" t="n">
        <v>63</v>
      </c>
      <c r="C69" s="57" t="n"/>
      <c r="D69" s="51" t="n"/>
      <c r="E69" s="32" t="n"/>
      <c r="F69" s="30" t="n"/>
      <c r="G69" s="55">
        <f>F69/0.2</f>
        <v/>
      </c>
      <c r="H69" s="55">
        <f>G69*1.2</f>
        <v/>
      </c>
      <c r="I69" s="31">
        <f>G69</f>
        <v/>
      </c>
      <c r="J69" s="31">
        <f>H69</f>
        <v/>
      </c>
    </row>
    <row r="70" hidden="1">
      <c r="B70" s="47" t="n">
        <v>64</v>
      </c>
      <c r="C70" s="57" t="n"/>
      <c r="D70" s="51" t="n"/>
      <c r="E70" s="32" t="n"/>
      <c r="F70" s="30" t="n"/>
      <c r="G70" s="55">
        <f>F70/0.2</f>
        <v/>
      </c>
      <c r="H70" s="55">
        <f>G70*1.2</f>
        <v/>
      </c>
      <c r="I70" s="31">
        <f>G70</f>
        <v/>
      </c>
      <c r="J70" s="31">
        <f>H70</f>
        <v/>
      </c>
    </row>
    <row r="71" hidden="1">
      <c r="B71" s="47" t="n">
        <v>65</v>
      </c>
      <c r="C71" s="57" t="n"/>
      <c r="D71" s="51" t="n"/>
      <c r="E71" s="32" t="n"/>
      <c r="F71" s="30" t="n"/>
      <c r="G71" s="55">
        <f>F71/0.2</f>
        <v/>
      </c>
      <c r="H71" s="55">
        <f>G71*1.2</f>
        <v/>
      </c>
      <c r="I71" s="31">
        <f>G71</f>
        <v/>
      </c>
      <c r="J71" s="31">
        <f>H71</f>
        <v/>
      </c>
    </row>
    <row r="72" hidden="1">
      <c r="B72" s="47" t="n">
        <v>66</v>
      </c>
      <c r="C72" s="57" t="n"/>
      <c r="D72" s="51" t="n"/>
      <c r="E72" s="32" t="n"/>
      <c r="F72" s="30" t="n"/>
      <c r="G72" s="55">
        <f>F72/0.2</f>
        <v/>
      </c>
      <c r="H72" s="55">
        <f>G72*1.2</f>
        <v/>
      </c>
      <c r="I72" s="31">
        <f>G72</f>
        <v/>
      </c>
      <c r="J72" s="31">
        <f>H72</f>
        <v/>
      </c>
    </row>
    <row r="73" hidden="1">
      <c r="B73" s="47" t="n">
        <v>67</v>
      </c>
      <c r="C73" s="57" t="n"/>
      <c r="D73" s="51" t="n"/>
      <c r="E73" s="32" t="n"/>
      <c r="F73" s="30" t="n"/>
      <c r="G73" s="55">
        <f>F73/0.2</f>
        <v/>
      </c>
      <c r="H73" s="55">
        <f>G73*1.2</f>
        <v/>
      </c>
      <c r="I73" s="31">
        <f>G73</f>
        <v/>
      </c>
      <c r="J73" s="31">
        <f>H73</f>
        <v/>
      </c>
    </row>
    <row r="74" hidden="1">
      <c r="B74" s="47" t="n">
        <v>68</v>
      </c>
      <c r="C74" s="57" t="n"/>
      <c r="D74" s="51" t="n"/>
      <c r="E74" s="32" t="n"/>
      <c r="F74" s="30" t="n"/>
      <c r="G74" s="55">
        <f>F74/0.2</f>
        <v/>
      </c>
      <c r="H74" s="55">
        <f>G74*1.2</f>
        <v/>
      </c>
      <c r="I74" s="31">
        <f>G74</f>
        <v/>
      </c>
      <c r="J74" s="31">
        <f>H74</f>
        <v/>
      </c>
    </row>
    <row r="75" hidden="1">
      <c r="B75" s="47" t="n">
        <v>69</v>
      </c>
      <c r="C75" s="57" t="n"/>
      <c r="D75" s="51" t="n"/>
      <c r="E75" s="32" t="n"/>
      <c r="F75" s="30" t="n"/>
      <c r="G75" s="55">
        <f>F75/0.2</f>
        <v/>
      </c>
      <c r="H75" s="55">
        <f>G75*1.2</f>
        <v/>
      </c>
      <c r="I75" s="31">
        <f>G75</f>
        <v/>
      </c>
      <c r="J75" s="31">
        <f>H75</f>
        <v/>
      </c>
    </row>
    <row r="76" hidden="1">
      <c r="B76" s="47" t="n">
        <v>70</v>
      </c>
      <c r="C76" s="57" t="n"/>
      <c r="D76" s="51" t="n"/>
      <c r="E76" s="32" t="n"/>
      <c r="F76" s="30" t="n"/>
      <c r="G76" s="55">
        <f>F76/0.2</f>
        <v/>
      </c>
      <c r="H76" s="55">
        <f>G76*1.2</f>
        <v/>
      </c>
      <c r="I76" s="31">
        <f>G76</f>
        <v/>
      </c>
      <c r="J76" s="31">
        <f>H76</f>
        <v/>
      </c>
    </row>
    <row r="77" hidden="1">
      <c r="B77" s="47" t="n">
        <v>71</v>
      </c>
      <c r="C77" s="57" t="n"/>
      <c r="D77" s="51" t="n"/>
      <c r="E77" s="32" t="n"/>
      <c r="F77" s="30" t="n"/>
      <c r="G77" s="55">
        <f>F77/0.2</f>
        <v/>
      </c>
      <c r="H77" s="55">
        <f>G77*1.2</f>
        <v/>
      </c>
      <c r="I77" s="31">
        <f>G77</f>
        <v/>
      </c>
      <c r="J77" s="31">
        <f>H77</f>
        <v/>
      </c>
    </row>
    <row r="78" hidden="1">
      <c r="B78" s="47" t="n">
        <v>72</v>
      </c>
      <c r="C78" s="57" t="n"/>
      <c r="D78" s="51" t="n"/>
      <c r="E78" s="32" t="n"/>
      <c r="F78" s="30" t="n"/>
      <c r="G78" s="55">
        <f>F78/0.2</f>
        <v/>
      </c>
      <c r="H78" s="55">
        <f>G78*1.2</f>
        <v/>
      </c>
      <c r="I78" s="31">
        <f>G78</f>
        <v/>
      </c>
      <c r="J78" s="31">
        <f>H78</f>
        <v/>
      </c>
    </row>
    <row r="79" hidden="1">
      <c r="B79" s="47" t="n">
        <v>73</v>
      </c>
      <c r="C79" s="57" t="n"/>
      <c r="D79" s="51" t="n"/>
      <c r="E79" s="32" t="n"/>
      <c r="F79" s="30" t="n"/>
      <c r="G79" s="55">
        <f>F79/0.2</f>
        <v/>
      </c>
      <c r="H79" s="55">
        <f>G79*1.2</f>
        <v/>
      </c>
      <c r="I79" s="31">
        <f>G79</f>
        <v/>
      </c>
      <c r="J79" s="31">
        <f>H79</f>
        <v/>
      </c>
    </row>
    <row r="80" hidden="1">
      <c r="B80" s="47" t="n">
        <v>74</v>
      </c>
      <c r="C80" s="57" t="n"/>
      <c r="D80" s="51" t="n"/>
      <c r="E80" s="32" t="n"/>
      <c r="F80" s="30" t="n"/>
      <c r="G80" s="55">
        <f>F80/0.2</f>
        <v/>
      </c>
      <c r="H80" s="55">
        <f>G80*1.2</f>
        <v/>
      </c>
      <c r="I80" s="31">
        <f>G80</f>
        <v/>
      </c>
      <c r="J80" s="31">
        <f>H80</f>
        <v/>
      </c>
    </row>
    <row r="81" hidden="1">
      <c r="B81" s="47" t="n">
        <v>75</v>
      </c>
      <c r="C81" s="57" t="n"/>
      <c r="D81" s="51" t="n"/>
      <c r="E81" s="32" t="n"/>
      <c r="F81" s="30" t="n"/>
      <c r="G81" s="55">
        <f>F81/0.2</f>
        <v/>
      </c>
      <c r="H81" s="55">
        <f>G81*1.2</f>
        <v/>
      </c>
      <c r="I81" s="31">
        <f>G81</f>
        <v/>
      </c>
      <c r="J81" s="31">
        <f>H81</f>
        <v/>
      </c>
    </row>
    <row r="82" hidden="1">
      <c r="B82" s="47" t="n">
        <v>76</v>
      </c>
      <c r="C82" s="57" t="n"/>
      <c r="D82" s="51" t="n"/>
      <c r="E82" s="32" t="n"/>
      <c r="F82" s="30" t="n"/>
      <c r="G82" s="55">
        <f>F82/0.2</f>
        <v/>
      </c>
      <c r="H82" s="55">
        <f>G82*1.2</f>
        <v/>
      </c>
      <c r="I82" s="31">
        <f>G82</f>
        <v/>
      </c>
      <c r="J82" s="31">
        <f>H82</f>
        <v/>
      </c>
    </row>
    <row r="83" hidden="1">
      <c r="B83" s="47" t="n">
        <v>77</v>
      </c>
      <c r="C83" s="57" t="n"/>
      <c r="D83" s="51" t="n"/>
      <c r="E83" s="32" t="n"/>
      <c r="F83" s="30" t="n"/>
      <c r="G83" s="55">
        <f>F83/0.2</f>
        <v/>
      </c>
      <c r="H83" s="55">
        <f>G83*1.2</f>
        <v/>
      </c>
      <c r="I83" s="31">
        <f>G83</f>
        <v/>
      </c>
      <c r="J83" s="31">
        <f>H83</f>
        <v/>
      </c>
    </row>
    <row r="84" hidden="1">
      <c r="B84" s="47" t="n">
        <v>78</v>
      </c>
      <c r="C84" s="57" t="n"/>
      <c r="D84" s="51" t="n"/>
      <c r="E84" s="32" t="n"/>
      <c r="F84" s="30" t="n"/>
      <c r="G84" s="55">
        <f>F84/0.2</f>
        <v/>
      </c>
      <c r="H84" s="55">
        <f>G84*1.2</f>
        <v/>
      </c>
      <c r="I84" s="31">
        <f>G84</f>
        <v/>
      </c>
      <c r="J84" s="31">
        <f>H84</f>
        <v/>
      </c>
    </row>
    <row r="85" hidden="1">
      <c r="B85" s="47" t="n">
        <v>79</v>
      </c>
      <c r="C85" s="57" t="n"/>
      <c r="D85" s="51" t="n"/>
      <c r="E85" s="32" t="n"/>
      <c r="F85" s="30" t="n"/>
      <c r="G85" s="55">
        <f>F85/0.2</f>
        <v/>
      </c>
      <c r="H85" s="55">
        <f>G85*1.2</f>
        <v/>
      </c>
      <c r="I85" s="31">
        <f>G85</f>
        <v/>
      </c>
      <c r="J85" s="31">
        <f>H85</f>
        <v/>
      </c>
    </row>
    <row r="86" hidden="1">
      <c r="B86" s="47" t="n">
        <v>80</v>
      </c>
      <c r="C86" s="57" t="n"/>
      <c r="D86" s="51" t="n"/>
      <c r="E86" s="32" t="n"/>
      <c r="F86" s="30" t="n"/>
      <c r="G86" s="55">
        <f>F86/0.2</f>
        <v/>
      </c>
      <c r="H86" s="55">
        <f>G86*1.2</f>
        <v/>
      </c>
      <c r="I86" s="31">
        <f>G86</f>
        <v/>
      </c>
      <c r="J86" s="31">
        <f>H86</f>
        <v/>
      </c>
    </row>
    <row r="87" ht="13.5" customFormat="1" customHeight="1" s="1" thickBot="1">
      <c r="B87" s="47" t="n"/>
      <c r="C87" s="48" t="n"/>
      <c r="D87" s="47" t="n"/>
      <c r="E87" s="49" t="n"/>
      <c r="F87" s="56">
        <f>SUM(F7:F86)</f>
        <v/>
      </c>
      <c r="G87" s="56">
        <f>SUM(G7:G86)</f>
        <v/>
      </c>
      <c r="H87" s="56">
        <f>SUM(H7:H86)</f>
        <v/>
      </c>
      <c r="I87" s="56">
        <f>SUM(I7:I86)</f>
        <v/>
      </c>
      <c r="J87" s="56">
        <f>SUM(J7:J86)</f>
        <v/>
      </c>
    </row>
    <row r="89">
      <c r="F89" t="inlineStr">
        <is>
          <t>KDV</t>
        </is>
      </c>
      <c r="G89" t="inlineStr">
        <is>
          <t>Matrah</t>
        </is>
      </c>
      <c r="H89" t="inlineStr">
        <is>
          <t>Toplam</t>
        </is>
      </c>
    </row>
    <row r="90">
      <c r="E90" s="40" t="n"/>
      <c r="F90" s="52">
        <f>F87*0.7</f>
        <v/>
      </c>
      <c r="G90" s="52">
        <f>G87*0.7</f>
        <v/>
      </c>
      <c r="H90" s="52">
        <f>SUM(F90:G90)</f>
        <v/>
      </c>
      <c r="I90" s="38" t="n"/>
    </row>
    <row r="91">
      <c r="E91" s="39" t="n"/>
      <c r="F91" s="53" t="n"/>
      <c r="G91" s="53" t="n"/>
      <c r="H91" s="54" t="n"/>
      <c r="I91" s="38" t="n"/>
    </row>
    <row r="92">
      <c r="E92" s="40" t="n"/>
      <c r="F92" s="52">
        <f>F87-F90</f>
        <v/>
      </c>
      <c r="G92" s="52">
        <f>G87-G90</f>
        <v/>
      </c>
      <c r="H92" s="52">
        <f>SUM(F92:G92)</f>
        <v/>
      </c>
      <c r="I92" s="38" t="n"/>
    </row>
    <row r="93">
      <c r="F93" s="38" t="n"/>
      <c r="G93" s="38" t="n"/>
      <c r="H93" s="38" t="n"/>
      <c r="I93" s="38" t="n"/>
    </row>
  </sheetData>
  <mergeCells count="2">
    <mergeCell ref="I5:J5"/>
    <mergeCell ref="F5:H5"/>
  </mergeCells>
  <pageMargins left="0.34" right="0.7" top="0.16" bottom="0.16" header="0.3" footer="0.3"/>
  <pageSetup orientation="portrait" paperSize="9" scale="80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R93"/>
  <sheetViews>
    <sheetView workbookViewId="0">
      <selection activeCell="G27" sqref="G27"/>
    </sheetView>
  </sheetViews>
  <sheetFormatPr baseColWidth="8" defaultRowHeight="12.75"/>
  <cols>
    <col width="6.28515625" customWidth="1" style="20" min="1" max="1"/>
    <col width="5.28515625" bestFit="1" customWidth="1" style="18" min="2" max="2"/>
    <col width="10.7109375" bestFit="1" customWidth="1" style="21" min="3" max="3"/>
    <col width="8.5703125" bestFit="1" customWidth="1" style="18" min="4" max="4"/>
    <col width="28.140625" bestFit="1" customWidth="1" style="22" min="5" max="5"/>
    <col width="7" bestFit="1" customWidth="1" style="5" min="6" max="6"/>
    <col width="8.140625" bestFit="1" customWidth="1" style="5" min="7" max="8"/>
    <col width="8.42578125" bestFit="1" customWidth="1" style="5" min="9" max="9"/>
    <col width="11.5703125" bestFit="1" customWidth="1" style="5" min="10" max="10"/>
    <col width="11.85546875" bestFit="1" customWidth="1" style="5" min="11" max="11"/>
    <col width="8.7109375" bestFit="1" customWidth="1" style="5" min="12" max="12"/>
    <col width="9.7109375" bestFit="1" customWidth="1" style="5" min="13" max="13"/>
    <col width="9.42578125" bestFit="1" customWidth="1" style="5" min="14" max="14"/>
    <col width="11.5703125" bestFit="1" customWidth="1" style="5" min="15" max="16"/>
    <col width="9.140625" customWidth="1" style="20" min="17" max="17"/>
    <col width="9.85546875" bestFit="1" customWidth="1" style="20" min="18" max="18"/>
    <col width="9.140625" customWidth="1" style="20" min="19" max="16384"/>
  </cols>
  <sheetData>
    <row r="2" ht="15.75" customFormat="1" customHeight="1" s="23" thickBot="1">
      <c r="B2" s="24" t="n"/>
      <c r="C2" s="15" t="inlineStr">
        <is>
          <t>HAZIRLAYAN:</t>
        </is>
      </c>
      <c r="D2" s="15" t="n"/>
      <c r="E2" s="4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</row>
    <row r="3" ht="14.25" customHeight="1" thickBot="1" thickTop="1">
      <c r="B3" s="16" t="n"/>
      <c r="C3" s="21" t="n"/>
      <c r="D3" s="18" t="n"/>
      <c r="E3" s="22" t="n"/>
      <c r="F3" s="73" t="n">
        <v>0.01</v>
      </c>
      <c r="G3" s="74" t="n"/>
      <c r="H3" s="75" t="n"/>
      <c r="I3" s="73" t="n">
        <v>0.08</v>
      </c>
      <c r="J3" s="74" t="n"/>
      <c r="K3" s="75" t="n"/>
      <c r="L3" s="73" t="n">
        <v>0.18</v>
      </c>
      <c r="M3" s="74" t="n"/>
      <c r="N3" s="75" t="n"/>
      <c r="O3" s="76" t="inlineStr">
        <is>
          <t>GENEL TOPLAM</t>
        </is>
      </c>
      <c r="P3" s="75" t="n"/>
    </row>
    <row r="4" ht="25.5" customHeight="1">
      <c r="A4" s="20" t="n"/>
      <c r="B4" s="8" t="inlineStr">
        <is>
          <t>Sıra No</t>
        </is>
      </c>
      <c r="C4" s="9" t="inlineStr">
        <is>
          <t xml:space="preserve"> Tarih</t>
        </is>
      </c>
      <c r="D4" s="11" t="inlineStr">
        <is>
          <t>Sıra No</t>
        </is>
      </c>
      <c r="E4" s="11" t="inlineStr">
        <is>
          <t>Satıcının Adı-Soyadı / Ünvanı</t>
        </is>
      </c>
      <c r="F4" s="11" t="inlineStr">
        <is>
          <t>Kdv %01</t>
        </is>
      </c>
      <c r="G4" s="11" t="inlineStr">
        <is>
          <t>Matrah %01</t>
        </is>
      </c>
      <c r="H4" s="11" t="inlineStr">
        <is>
          <t>Toplam
%01</t>
        </is>
      </c>
      <c r="I4" s="11" t="inlineStr">
        <is>
          <t>Kdv %08</t>
        </is>
      </c>
      <c r="J4" s="11" t="inlineStr">
        <is>
          <t>Matrah %08</t>
        </is>
      </c>
      <c r="K4" s="11" t="inlineStr">
        <is>
          <t>Toplam
%08</t>
        </is>
      </c>
      <c r="L4" s="11" t="inlineStr">
        <is>
          <t>Kdv %18</t>
        </is>
      </c>
      <c r="M4" s="11" t="inlineStr">
        <is>
          <t>Matrah %18</t>
        </is>
      </c>
      <c r="N4" s="11" t="inlineStr">
        <is>
          <t>Toplam
%18</t>
        </is>
      </c>
      <c r="O4" s="11" t="inlineStr">
        <is>
          <t>MATRAH</t>
        </is>
      </c>
      <c r="P4" s="12" t="inlineStr">
        <is>
          <t>GENEL</t>
        </is>
      </c>
    </row>
    <row r="5" ht="12" customFormat="1" customHeight="1" s="7">
      <c r="A5" s="7" t="n"/>
      <c r="B5" s="13" t="n">
        <v>1</v>
      </c>
      <c r="C5" s="57" t="n"/>
      <c r="D5" s="50" t="n"/>
      <c r="E5" s="58" t="n"/>
      <c r="F5" s="28" t="n"/>
      <c r="G5" s="55">
        <f>F5/0.01</f>
        <v/>
      </c>
      <c r="H5" s="55">
        <f>G5*1.01</f>
        <v/>
      </c>
      <c r="I5" s="28" t="n"/>
      <c r="J5" s="55">
        <f>I5/0.08</f>
        <v/>
      </c>
      <c r="K5" s="55">
        <f>J5*1.08</f>
        <v/>
      </c>
      <c r="L5" s="30" t="n"/>
      <c r="M5" s="55">
        <f>L5/0.18</f>
        <v/>
      </c>
      <c r="N5" s="55">
        <f>M5*1.18</f>
        <v/>
      </c>
      <c r="O5" s="31">
        <f>G5+J5+M5</f>
        <v/>
      </c>
      <c r="P5" s="31">
        <f>H5+K5+N5</f>
        <v/>
      </c>
    </row>
    <row r="6" ht="12" customFormat="1" customHeight="1" s="7">
      <c r="A6" s="7" t="n"/>
      <c r="B6" s="13" t="n">
        <v>2</v>
      </c>
      <c r="C6" s="57" t="n"/>
      <c r="D6" s="50" t="n"/>
      <c r="E6" s="58" t="n"/>
      <c r="F6" s="28" t="n"/>
      <c r="G6" s="55">
        <f>F6/0.01</f>
        <v/>
      </c>
      <c r="H6" s="55">
        <f>G6*1.01</f>
        <v/>
      </c>
      <c r="I6" s="28" t="n"/>
      <c r="J6" s="55">
        <f>I6/0.08</f>
        <v/>
      </c>
      <c r="K6" s="55">
        <f>J6*1.08</f>
        <v/>
      </c>
      <c r="L6" s="30" t="n"/>
      <c r="M6" s="55">
        <f>L6/0.18</f>
        <v/>
      </c>
      <c r="N6" s="55">
        <f>M6*1.18</f>
        <v/>
      </c>
      <c r="O6" s="31">
        <f>G6+J6+M6</f>
        <v/>
      </c>
      <c r="P6" s="31">
        <f>H6+K6+N6</f>
        <v/>
      </c>
    </row>
    <row r="7" ht="12" customFormat="1" customHeight="1" s="7">
      <c r="A7" s="7" t="n"/>
      <c r="B7" s="13" t="n">
        <v>3</v>
      </c>
      <c r="C7" s="57" t="n"/>
      <c r="D7" s="51" t="n"/>
      <c r="E7" s="58" t="n"/>
      <c r="F7" s="28" t="n"/>
      <c r="G7" s="55">
        <f>F7/0.01</f>
        <v/>
      </c>
      <c r="H7" s="55">
        <f>G7*1.01</f>
        <v/>
      </c>
      <c r="I7" s="28" t="n"/>
      <c r="J7" s="55">
        <f>I7/0.08</f>
        <v/>
      </c>
      <c r="K7" s="55">
        <f>J7*1.08</f>
        <v/>
      </c>
      <c r="L7" s="30" t="n"/>
      <c r="M7" s="55">
        <f>L7/0.18</f>
        <v/>
      </c>
      <c r="N7" s="55">
        <f>M7*1.18</f>
        <v/>
      </c>
      <c r="O7" s="31">
        <f>G7+J7+M7</f>
        <v/>
      </c>
      <c r="P7" s="31">
        <f>H7+K7+N7</f>
        <v/>
      </c>
      <c r="R7" s="14" t="n"/>
    </row>
    <row r="8" ht="12" customFormat="1" customHeight="1" s="7">
      <c r="A8" s="7" t="n"/>
      <c r="B8" s="13" t="n">
        <v>4</v>
      </c>
      <c r="C8" s="57" t="n"/>
      <c r="D8" s="51" t="n"/>
      <c r="E8" s="58" t="n"/>
      <c r="F8" s="28" t="n"/>
      <c r="G8" s="55">
        <f>F8/0.01</f>
        <v/>
      </c>
      <c r="H8" s="55">
        <f>G8*1.01</f>
        <v/>
      </c>
      <c r="I8" s="28" t="n"/>
      <c r="J8" s="55">
        <f>I8/0.08</f>
        <v/>
      </c>
      <c r="K8" s="55">
        <f>J8*1.08</f>
        <v/>
      </c>
      <c r="L8" s="30" t="n"/>
      <c r="M8" s="55">
        <f>L8/0.18</f>
        <v/>
      </c>
      <c r="N8" s="55">
        <f>M8*1.18</f>
        <v/>
      </c>
      <c r="O8" s="31">
        <f>G8+J8+M8</f>
        <v/>
      </c>
      <c r="P8" s="31">
        <f>H8+K8+N8</f>
        <v/>
      </c>
    </row>
    <row r="9" ht="12" customFormat="1" customHeight="1" s="7">
      <c r="A9" s="7" t="n"/>
      <c r="B9" s="13" t="n">
        <v>5</v>
      </c>
      <c r="C9" s="57" t="n"/>
      <c r="D9" s="51" t="n"/>
      <c r="E9" s="58" t="n"/>
      <c r="F9" s="28" t="n"/>
      <c r="G9" s="55">
        <f>F9/0.01</f>
        <v/>
      </c>
      <c r="H9" s="55">
        <f>G9*1.01</f>
        <v/>
      </c>
      <c r="I9" s="28" t="n"/>
      <c r="J9" s="55">
        <f>I9/0.08</f>
        <v/>
      </c>
      <c r="K9" s="55">
        <f>J9*1.08</f>
        <v/>
      </c>
      <c r="L9" s="30" t="n"/>
      <c r="M9" s="55">
        <f>L9/0.18</f>
        <v/>
      </c>
      <c r="N9" s="55">
        <f>M9*1.18</f>
        <v/>
      </c>
      <c r="O9" s="31">
        <f>G9+J9+M9</f>
        <v/>
      </c>
      <c r="P9" s="31">
        <f>H9+K9+N9</f>
        <v/>
      </c>
    </row>
    <row r="10" ht="12" customFormat="1" customHeight="1" s="7">
      <c r="A10" s="7" t="n"/>
      <c r="B10" s="13" t="n">
        <v>6</v>
      </c>
      <c r="C10" s="57" t="n"/>
      <c r="D10" s="51" t="n"/>
      <c r="E10" s="58" t="n"/>
      <c r="F10" s="28" t="n"/>
      <c r="G10" s="55">
        <f>F10/0.01</f>
        <v/>
      </c>
      <c r="H10" s="55">
        <f>G10*1.01</f>
        <v/>
      </c>
      <c r="I10" s="28" t="n"/>
      <c r="J10" s="55">
        <f>I10/0.08</f>
        <v/>
      </c>
      <c r="K10" s="55">
        <f>J10*1.08</f>
        <v/>
      </c>
      <c r="L10" s="30" t="n"/>
      <c r="M10" s="55">
        <f>L10/0.18</f>
        <v/>
      </c>
      <c r="N10" s="55">
        <f>M10*1.18</f>
        <v/>
      </c>
      <c r="O10" s="31">
        <f>G10+J10+M10</f>
        <v/>
      </c>
      <c r="P10" s="31">
        <f>H10+K10+N10</f>
        <v/>
      </c>
    </row>
    <row r="11" ht="12" customFormat="1" customHeight="1" s="7">
      <c r="A11" s="7" t="n"/>
      <c r="B11" s="13" t="n">
        <v>7</v>
      </c>
      <c r="C11" s="57" t="n"/>
      <c r="D11" s="51" t="n"/>
      <c r="E11" s="58" t="n"/>
      <c r="F11" s="28" t="n"/>
      <c r="G11" s="55">
        <f>F11/0.01</f>
        <v/>
      </c>
      <c r="H11" s="55">
        <f>G11*1.01</f>
        <v/>
      </c>
      <c r="I11" s="28" t="n"/>
      <c r="J11" s="55">
        <f>I11/0.08</f>
        <v/>
      </c>
      <c r="K11" s="55">
        <f>J11*1.08</f>
        <v/>
      </c>
      <c r="L11" s="30" t="n"/>
      <c r="M11" s="55">
        <f>L11/0.18</f>
        <v/>
      </c>
      <c r="N11" s="55">
        <f>M11*1.18</f>
        <v/>
      </c>
      <c r="O11" s="31">
        <f>G11+J11+M11</f>
        <v/>
      </c>
      <c r="P11" s="31">
        <f>H11+K11+N11</f>
        <v/>
      </c>
    </row>
    <row r="12" ht="12" customFormat="1" customHeight="1" s="7">
      <c r="A12" s="7" t="n"/>
      <c r="B12" s="13" t="n">
        <v>8</v>
      </c>
      <c r="C12" s="57" t="n"/>
      <c r="D12" s="51" t="n"/>
      <c r="E12" s="58" t="n"/>
      <c r="F12" s="28" t="n"/>
      <c r="G12" s="55">
        <f>F12/0.01</f>
        <v/>
      </c>
      <c r="H12" s="55">
        <f>G12*1.01</f>
        <v/>
      </c>
      <c r="I12" s="28" t="n"/>
      <c r="J12" s="55">
        <f>I12/0.08</f>
        <v/>
      </c>
      <c r="K12" s="55">
        <f>J12*1.08</f>
        <v/>
      </c>
      <c r="L12" s="30" t="n"/>
      <c r="M12" s="55">
        <f>L12/0.18</f>
        <v/>
      </c>
      <c r="N12" s="55">
        <f>M12*1.18</f>
        <v/>
      </c>
      <c r="O12" s="31">
        <f>G12+J12+M12</f>
        <v/>
      </c>
      <c r="P12" s="31">
        <f>H12+K12+N12</f>
        <v/>
      </c>
    </row>
    <row r="13" ht="12" customFormat="1" customHeight="1" s="7">
      <c r="A13" s="7" t="n"/>
      <c r="B13" s="13" t="n">
        <v>9</v>
      </c>
      <c r="C13" s="57" t="n"/>
      <c r="D13" s="51" t="n"/>
      <c r="E13" s="58" t="n"/>
      <c r="F13" s="28" t="n"/>
      <c r="G13" s="55">
        <f>F13/0.01</f>
        <v/>
      </c>
      <c r="H13" s="55">
        <f>G13*1.01</f>
        <v/>
      </c>
      <c r="I13" s="28" t="n"/>
      <c r="J13" s="55">
        <f>I13/0.08</f>
        <v/>
      </c>
      <c r="K13" s="55">
        <f>J13*1.08</f>
        <v/>
      </c>
      <c r="L13" s="30" t="n"/>
      <c r="M13" s="55">
        <f>L13/0.18</f>
        <v/>
      </c>
      <c r="N13" s="55">
        <f>M13*1.18</f>
        <v/>
      </c>
      <c r="O13" s="31">
        <f>G13+J13+M13</f>
        <v/>
      </c>
      <c r="P13" s="31">
        <f>H13+K13+N13</f>
        <v/>
      </c>
    </row>
    <row r="14" ht="12" customFormat="1" customHeight="1" s="7">
      <c r="A14" s="7" t="n"/>
      <c r="B14" s="13" t="n">
        <v>10</v>
      </c>
      <c r="C14" s="57" t="n"/>
      <c r="D14" s="51" t="n"/>
      <c r="E14" s="58" t="n"/>
      <c r="F14" s="28" t="n"/>
      <c r="G14" s="55">
        <f>F14/0.01</f>
        <v/>
      </c>
      <c r="H14" s="55">
        <f>G14*1.01</f>
        <v/>
      </c>
      <c r="I14" s="28" t="n"/>
      <c r="J14" s="55">
        <f>I14/0.08</f>
        <v/>
      </c>
      <c r="K14" s="55">
        <f>J14*1.08</f>
        <v/>
      </c>
      <c r="L14" s="30" t="n"/>
      <c r="M14" s="55">
        <f>L14/0.18</f>
        <v/>
      </c>
      <c r="N14" s="55">
        <f>M14*1.18</f>
        <v/>
      </c>
      <c r="O14" s="31">
        <f>G14+J14+M14</f>
        <v/>
      </c>
      <c r="P14" s="31">
        <f>H14+K14+N14</f>
        <v/>
      </c>
    </row>
    <row r="15" ht="12.75" customFormat="1" customHeight="1" s="7">
      <c r="A15" s="7" t="n"/>
      <c r="B15" s="13" t="n">
        <v>11</v>
      </c>
      <c r="C15" s="57" t="n"/>
      <c r="D15" s="51" t="n"/>
      <c r="E15" s="58" t="n"/>
      <c r="F15" s="28" t="n"/>
      <c r="G15" s="55">
        <f>F15/0.01</f>
        <v/>
      </c>
      <c r="H15" s="55">
        <f>G15*1.01</f>
        <v/>
      </c>
      <c r="I15" s="28" t="n"/>
      <c r="J15" s="55">
        <f>I15/0.08</f>
        <v/>
      </c>
      <c r="K15" s="55">
        <f>J15*1.08</f>
        <v/>
      </c>
      <c r="L15" s="30" t="n"/>
      <c r="M15" s="55">
        <f>L15/0.18</f>
        <v/>
      </c>
      <c r="N15" s="55">
        <f>M15*1.18</f>
        <v/>
      </c>
      <c r="O15" s="31">
        <f>G15+J15+M15</f>
        <v/>
      </c>
      <c r="P15" s="31">
        <f>H15+K15+N15</f>
        <v/>
      </c>
    </row>
    <row r="16" ht="12" customFormat="1" customHeight="1" s="7">
      <c r="A16" s="7" t="n"/>
      <c r="B16" s="13" t="n">
        <v>12</v>
      </c>
      <c r="C16" s="57" t="n"/>
      <c r="D16" s="51" t="n"/>
      <c r="E16" s="58" t="n"/>
      <c r="F16" s="28" t="n"/>
      <c r="G16" s="55">
        <f>F16/0.01</f>
        <v/>
      </c>
      <c r="H16" s="55">
        <f>G16*1.01</f>
        <v/>
      </c>
      <c r="I16" s="28" t="n"/>
      <c r="J16" s="55">
        <f>I16/0.08</f>
        <v/>
      </c>
      <c r="K16" s="55">
        <f>J16*1.08</f>
        <v/>
      </c>
      <c r="L16" s="30" t="n"/>
      <c r="M16" s="55">
        <f>L16/0.18</f>
        <v/>
      </c>
      <c r="N16" s="55">
        <f>M16*1.18</f>
        <v/>
      </c>
      <c r="O16" s="31">
        <f>G16+J16+M16</f>
        <v/>
      </c>
      <c r="P16" s="31">
        <f>H16+K16+N16</f>
        <v/>
      </c>
    </row>
    <row r="17" ht="12" customFormat="1" customHeight="1" s="7">
      <c r="A17" s="7" t="n"/>
      <c r="B17" s="13" t="n">
        <v>13</v>
      </c>
      <c r="C17" s="57" t="n"/>
      <c r="D17" s="51" t="n"/>
      <c r="E17" s="58" t="n"/>
      <c r="F17" s="28" t="n"/>
      <c r="G17" s="55">
        <f>F17/0.01</f>
        <v/>
      </c>
      <c r="H17" s="55">
        <f>G17*1.01</f>
        <v/>
      </c>
      <c r="I17" s="28" t="n"/>
      <c r="J17" s="55">
        <f>I17/0.08</f>
        <v/>
      </c>
      <c r="K17" s="55">
        <f>J17*1.08</f>
        <v/>
      </c>
      <c r="L17" s="30" t="n"/>
      <c r="M17" s="55">
        <f>L17/0.18</f>
        <v/>
      </c>
      <c r="N17" s="55">
        <f>M17*1.18</f>
        <v/>
      </c>
      <c r="O17" s="31">
        <f>G17+J17+M17</f>
        <v/>
      </c>
      <c r="P17" s="31">
        <f>H17+K17+N17</f>
        <v/>
      </c>
    </row>
    <row r="18" ht="13.5" customFormat="1" customHeight="1" s="7">
      <c r="A18" s="7" t="n"/>
      <c r="B18" s="13" t="n">
        <v>14</v>
      </c>
      <c r="C18" s="57" t="n"/>
      <c r="D18" s="51" t="n"/>
      <c r="E18" s="58" t="n"/>
      <c r="F18" s="28" t="n"/>
      <c r="G18" s="55">
        <f>F18/0.01</f>
        <v/>
      </c>
      <c r="H18" s="55">
        <f>G18*1.01</f>
        <v/>
      </c>
      <c r="I18" s="28" t="n"/>
      <c r="J18" s="55">
        <f>I18/0.08</f>
        <v/>
      </c>
      <c r="K18" s="55">
        <f>J18*1.08</f>
        <v/>
      </c>
      <c r="L18" s="30" t="n"/>
      <c r="M18" s="55">
        <f>L18/0.18</f>
        <v/>
      </c>
      <c r="N18" s="55">
        <f>M18*1.18</f>
        <v/>
      </c>
      <c r="O18" s="31">
        <f>G18+J18+M18</f>
        <v/>
      </c>
      <c r="P18" s="31">
        <f>H18+K18+N18</f>
        <v/>
      </c>
    </row>
    <row r="19" ht="12" customFormat="1" customHeight="1" s="7">
      <c r="A19" s="7" t="n"/>
      <c r="B19" s="13" t="n">
        <v>15</v>
      </c>
      <c r="C19" s="57" t="n"/>
      <c r="D19" s="51" t="n"/>
      <c r="E19" s="58" t="n"/>
      <c r="F19" s="28" t="n"/>
      <c r="G19" s="55">
        <f>F19/0.01</f>
        <v/>
      </c>
      <c r="H19" s="55">
        <f>G19*1.01</f>
        <v/>
      </c>
      <c r="I19" s="28" t="n"/>
      <c r="J19" s="55">
        <f>I19/0.08</f>
        <v/>
      </c>
      <c r="K19" s="55">
        <f>J19*1.08</f>
        <v/>
      </c>
      <c r="L19" s="30" t="n"/>
      <c r="M19" s="55">
        <f>L19/0.18</f>
        <v/>
      </c>
      <c r="N19" s="55">
        <f>M19*1.18</f>
        <v/>
      </c>
      <c r="O19" s="31">
        <f>G19+J19+M19</f>
        <v/>
      </c>
      <c r="P19" s="31">
        <f>H19+K19+N19</f>
        <v/>
      </c>
    </row>
    <row r="20" ht="12" customFormat="1" customHeight="1" s="7">
      <c r="A20" s="7" t="n"/>
      <c r="B20" s="13" t="n">
        <v>16</v>
      </c>
      <c r="C20" s="57" t="n"/>
      <c r="D20" s="51" t="n"/>
      <c r="E20" s="58" t="n"/>
      <c r="F20" s="28" t="n"/>
      <c r="G20" s="55">
        <f>F20/0.01</f>
        <v/>
      </c>
      <c r="H20" s="55">
        <f>G20*1.01</f>
        <v/>
      </c>
      <c r="I20" s="28" t="n"/>
      <c r="J20" s="55">
        <f>I20/0.08</f>
        <v/>
      </c>
      <c r="K20" s="55">
        <f>J20*1.08</f>
        <v/>
      </c>
      <c r="L20" s="30" t="n"/>
      <c r="M20" s="55">
        <f>L20/0.18</f>
        <v/>
      </c>
      <c r="N20" s="55">
        <f>M20*1.18</f>
        <v/>
      </c>
      <c r="O20" s="31">
        <f>G20+J20+M20</f>
        <v/>
      </c>
      <c r="P20" s="31">
        <f>H20+K20+N20</f>
        <v/>
      </c>
    </row>
    <row r="21" ht="12.75" customFormat="1" customHeight="1" s="7">
      <c r="A21" s="7" t="n"/>
      <c r="B21" s="13" t="n">
        <v>17</v>
      </c>
      <c r="C21" s="57" t="n"/>
      <c r="D21" s="51" t="n"/>
      <c r="E21" s="58" t="n"/>
      <c r="F21" s="28" t="n"/>
      <c r="G21" s="55">
        <f>F21/0.01</f>
        <v/>
      </c>
      <c r="H21" s="55">
        <f>G21*1.01</f>
        <v/>
      </c>
      <c r="I21" s="28" t="n"/>
      <c r="J21" s="55">
        <f>I21/0.08</f>
        <v/>
      </c>
      <c r="K21" s="55">
        <f>J21*1.08</f>
        <v/>
      </c>
      <c r="L21" s="30" t="n"/>
      <c r="M21" s="55">
        <f>L21/0.18</f>
        <v/>
      </c>
      <c r="N21" s="55">
        <f>M21*1.18</f>
        <v/>
      </c>
      <c r="O21" s="31">
        <f>G21+J21+M21</f>
        <v/>
      </c>
      <c r="P21" s="31">
        <f>H21+K21+N21</f>
        <v/>
      </c>
    </row>
    <row r="22" ht="12" customFormat="1" customHeight="1" s="7">
      <c r="A22" s="7" t="n"/>
      <c r="B22" s="13" t="n">
        <v>18</v>
      </c>
      <c r="C22" s="57" t="n"/>
      <c r="D22" s="51" t="n"/>
      <c r="E22" s="58" t="n"/>
      <c r="F22" s="30" t="n"/>
      <c r="G22" s="55">
        <f>F22/0.01</f>
        <v/>
      </c>
      <c r="H22" s="55">
        <f>G22*1.01</f>
        <v/>
      </c>
      <c r="I22" s="30" t="n"/>
      <c r="J22" s="55">
        <f>I22/0.08</f>
        <v/>
      </c>
      <c r="K22" s="55">
        <f>J22*1.08</f>
        <v/>
      </c>
      <c r="L22" s="30" t="n"/>
      <c r="M22" s="55">
        <f>L22/0.18</f>
        <v/>
      </c>
      <c r="N22" s="55">
        <f>M22*1.18</f>
        <v/>
      </c>
      <c r="O22" s="31">
        <f>G22+J22+M22</f>
        <v/>
      </c>
      <c r="P22" s="31">
        <f>H22+K22+N22</f>
        <v/>
      </c>
    </row>
    <row r="23" ht="12" customFormat="1" customHeight="1" s="7">
      <c r="A23" s="7" t="n"/>
      <c r="B23" s="13" t="n">
        <v>19</v>
      </c>
      <c r="C23" s="57" t="n"/>
      <c r="D23" s="51" t="n"/>
      <c r="E23" s="58" t="n"/>
      <c r="F23" s="30" t="n"/>
      <c r="G23" s="55">
        <f>F23/0.01</f>
        <v/>
      </c>
      <c r="H23" s="55">
        <f>G23*1.01</f>
        <v/>
      </c>
      <c r="I23" s="30" t="n"/>
      <c r="J23" s="55">
        <f>I23/0.08</f>
        <v/>
      </c>
      <c r="K23" s="55">
        <f>J23*1.08</f>
        <v/>
      </c>
      <c r="L23" s="30" t="n"/>
      <c r="M23" s="55">
        <f>L23/0.18</f>
        <v/>
      </c>
      <c r="N23" s="55">
        <f>M23*1.18</f>
        <v/>
      </c>
      <c r="O23" s="31">
        <f>G23+J23+M23</f>
        <v/>
      </c>
      <c r="P23" s="31">
        <f>H23+K23+N23</f>
        <v/>
      </c>
    </row>
    <row r="24" ht="12" customFormat="1" customHeight="1" s="7">
      <c r="A24" s="7" t="n"/>
      <c r="B24" s="13" t="n">
        <v>20</v>
      </c>
      <c r="C24" s="57" t="n"/>
      <c r="D24" s="51" t="n"/>
      <c r="E24" s="58" t="n"/>
      <c r="F24" s="30" t="n"/>
      <c r="G24" s="55">
        <f>F24/0.01</f>
        <v/>
      </c>
      <c r="H24" s="55">
        <f>G24*1.01</f>
        <v/>
      </c>
      <c r="I24" s="30" t="n"/>
      <c r="J24" s="55">
        <f>I24/0.08</f>
        <v/>
      </c>
      <c r="K24" s="55">
        <f>J24*1.08</f>
        <v/>
      </c>
      <c r="L24" s="30" t="n"/>
      <c r="M24" s="55">
        <f>L24/0.18</f>
        <v/>
      </c>
      <c r="N24" s="55">
        <f>M24*1.18</f>
        <v/>
      </c>
      <c r="O24" s="31">
        <f>G24+J24+M24</f>
        <v/>
      </c>
      <c r="P24" s="31">
        <f>H24+K24+N24</f>
        <v/>
      </c>
    </row>
    <row r="25" ht="12" customFormat="1" customHeight="1" s="7">
      <c r="A25" s="7" t="n"/>
      <c r="B25" s="13" t="n">
        <v>21</v>
      </c>
      <c r="C25" s="57" t="n"/>
      <c r="D25" s="51" t="n"/>
      <c r="E25" s="58" t="n"/>
      <c r="F25" s="30" t="n"/>
      <c r="G25" s="55">
        <f>F25/0.01</f>
        <v/>
      </c>
      <c r="H25" s="55">
        <f>G25*1.01</f>
        <v/>
      </c>
      <c r="I25" s="30" t="n"/>
      <c r="J25" s="55">
        <f>I25/0.08</f>
        <v/>
      </c>
      <c r="K25" s="55">
        <f>J25*1.08</f>
        <v/>
      </c>
      <c r="L25" s="30" t="n"/>
      <c r="M25" s="55">
        <f>L25/0.18</f>
        <v/>
      </c>
      <c r="N25" s="55">
        <f>M25*1.18</f>
        <v/>
      </c>
      <c r="O25" s="31">
        <f>G25+J25+M25</f>
        <v/>
      </c>
      <c r="P25" s="31">
        <f>H25+K25+N25</f>
        <v/>
      </c>
    </row>
    <row r="26" ht="12" customFormat="1" customHeight="1" s="7">
      <c r="A26" s="7" t="n"/>
      <c r="B26" s="13" t="n">
        <v>22</v>
      </c>
      <c r="C26" s="57" t="n"/>
      <c r="D26" s="51" t="n"/>
      <c r="E26" s="58" t="n"/>
      <c r="F26" s="30" t="n"/>
      <c r="G26" s="55">
        <f>F26/0.01</f>
        <v/>
      </c>
      <c r="H26" s="55">
        <f>G26*1.01</f>
        <v/>
      </c>
      <c r="I26" s="30" t="n"/>
      <c r="J26" s="55">
        <f>I26/0.08</f>
        <v/>
      </c>
      <c r="K26" s="55">
        <f>J26*1.08</f>
        <v/>
      </c>
      <c r="L26" s="30" t="n"/>
      <c r="M26" s="55">
        <f>L26/0.18</f>
        <v/>
      </c>
      <c r="N26" s="55">
        <f>M26*1.18</f>
        <v/>
      </c>
      <c r="O26" s="31">
        <f>G26+J26+M26</f>
        <v/>
      </c>
      <c r="P26" s="31">
        <f>H26+K26+N26</f>
        <v/>
      </c>
    </row>
    <row r="27" ht="12" customFormat="1" customHeight="1" s="7">
      <c r="A27" s="7" t="n"/>
      <c r="B27" s="13" t="n">
        <v>23</v>
      </c>
      <c r="C27" s="57" t="n"/>
      <c r="D27" s="51" t="n"/>
      <c r="E27" s="58" t="n"/>
      <c r="F27" s="30" t="n"/>
      <c r="G27" s="55">
        <f>F27/0.01</f>
        <v/>
      </c>
      <c r="H27" s="55">
        <f>G27*1.01</f>
        <v/>
      </c>
      <c r="I27" s="30" t="n"/>
      <c r="J27" s="55">
        <f>I27/0.08</f>
        <v/>
      </c>
      <c r="K27" s="55">
        <f>J27*1.08</f>
        <v/>
      </c>
      <c r="L27" s="30" t="n"/>
      <c r="M27" s="55">
        <f>L27/0.18</f>
        <v/>
      </c>
      <c r="N27" s="55">
        <f>M27*1.18</f>
        <v/>
      </c>
      <c r="O27" s="31">
        <f>G27+J27+M27</f>
        <v/>
      </c>
      <c r="P27" s="31">
        <f>H27+K27+N27</f>
        <v/>
      </c>
    </row>
    <row r="28" ht="12" customFormat="1" customHeight="1" s="7">
      <c r="A28" s="7" t="n"/>
      <c r="B28" s="13" t="n">
        <v>24</v>
      </c>
      <c r="C28" s="57" t="n"/>
      <c r="D28" s="51" t="n"/>
      <c r="E28" s="58" t="n"/>
      <c r="F28" s="30" t="n"/>
      <c r="G28" s="55">
        <f>F28/0.01</f>
        <v/>
      </c>
      <c r="H28" s="55">
        <f>G28*1.01</f>
        <v/>
      </c>
      <c r="I28" s="30" t="n"/>
      <c r="J28" s="55">
        <f>I28/0.08</f>
        <v/>
      </c>
      <c r="K28" s="55">
        <f>J28*1.08</f>
        <v/>
      </c>
      <c r="L28" s="30" t="n"/>
      <c r="M28" s="55">
        <f>L28/0.18</f>
        <v/>
      </c>
      <c r="N28" s="55">
        <f>M28*1.18</f>
        <v/>
      </c>
      <c r="O28" s="31">
        <f>G28+J28+M28</f>
        <v/>
      </c>
      <c r="P28" s="31">
        <f>H28+K28+N28</f>
        <v/>
      </c>
    </row>
    <row r="29" ht="12" customFormat="1" customHeight="1" s="7">
      <c r="A29" s="7" t="n"/>
      <c r="B29" s="13" t="n">
        <v>25</v>
      </c>
      <c r="C29" s="57" t="n"/>
      <c r="D29" s="51" t="n"/>
      <c r="E29" s="58" t="n"/>
      <c r="F29" s="30" t="n"/>
      <c r="G29" s="55">
        <f>F29/0.01</f>
        <v/>
      </c>
      <c r="H29" s="55">
        <f>G29*1.01</f>
        <v/>
      </c>
      <c r="I29" s="30" t="n"/>
      <c r="J29" s="55">
        <f>I29/0.08</f>
        <v/>
      </c>
      <c r="K29" s="55">
        <f>J29*1.08</f>
        <v/>
      </c>
      <c r="L29" s="30" t="n"/>
      <c r="M29" s="55">
        <f>L29/0.18</f>
        <v/>
      </c>
      <c r="N29" s="55">
        <f>M29*1.18</f>
        <v/>
      </c>
      <c r="O29" s="31">
        <f>G29+J29+M29</f>
        <v/>
      </c>
      <c r="P29" s="31">
        <f>H29+K29+N29</f>
        <v/>
      </c>
    </row>
    <row r="30" ht="12" customFormat="1" customHeight="1" s="7">
      <c r="A30" s="7" t="n"/>
      <c r="B30" s="13" t="n">
        <v>26</v>
      </c>
      <c r="C30" s="57" t="n"/>
      <c r="D30" s="51" t="n"/>
      <c r="E30" s="58" t="n"/>
      <c r="F30" s="30" t="n"/>
      <c r="G30" s="55">
        <f>F30/0.01</f>
        <v/>
      </c>
      <c r="H30" s="55">
        <f>G30*1.01</f>
        <v/>
      </c>
      <c r="I30" s="30" t="n"/>
      <c r="J30" s="55">
        <f>I30/0.08</f>
        <v/>
      </c>
      <c r="K30" s="55">
        <f>J30*1.08</f>
        <v/>
      </c>
      <c r="L30" s="30" t="n"/>
      <c r="M30" s="55">
        <f>L30/0.18</f>
        <v/>
      </c>
      <c r="N30" s="55">
        <f>M30*1.18</f>
        <v/>
      </c>
      <c r="O30" s="31">
        <f>G30+J30+M30</f>
        <v/>
      </c>
      <c r="P30" s="31">
        <f>H30+K30+N30</f>
        <v/>
      </c>
    </row>
    <row r="31" ht="12" customFormat="1" customHeight="1" s="7">
      <c r="A31" s="7" t="n"/>
      <c r="B31" s="13" t="n">
        <v>27</v>
      </c>
      <c r="C31" s="57" t="n"/>
      <c r="D31" s="51" t="n"/>
      <c r="E31" s="58" t="n"/>
      <c r="F31" s="30" t="n"/>
      <c r="G31" s="55">
        <f>F31/0.01</f>
        <v/>
      </c>
      <c r="H31" s="55">
        <f>G31*1.01</f>
        <v/>
      </c>
      <c r="I31" s="30" t="n"/>
      <c r="J31" s="55">
        <f>I31/0.08</f>
        <v/>
      </c>
      <c r="K31" s="55">
        <f>J31*1.08</f>
        <v/>
      </c>
      <c r="L31" s="30" t="n"/>
      <c r="M31" s="55">
        <f>L31/0.18</f>
        <v/>
      </c>
      <c r="N31" s="55">
        <f>M31*1.18</f>
        <v/>
      </c>
      <c r="O31" s="31">
        <f>G31+J31+M31</f>
        <v/>
      </c>
      <c r="P31" s="31">
        <f>H31+K31+N31</f>
        <v/>
      </c>
    </row>
    <row r="32" ht="12" customFormat="1" customHeight="1" s="7">
      <c r="A32" s="7" t="n"/>
      <c r="B32" s="13" t="n">
        <v>28</v>
      </c>
      <c r="C32" s="57" t="n"/>
      <c r="D32" s="51" t="n"/>
      <c r="E32" s="58" t="n"/>
      <c r="F32" s="30" t="n"/>
      <c r="G32" s="55">
        <f>F32/0.01</f>
        <v/>
      </c>
      <c r="H32" s="55">
        <f>G32*1.01</f>
        <v/>
      </c>
      <c r="I32" s="30" t="n"/>
      <c r="J32" s="55">
        <f>I32/0.08</f>
        <v/>
      </c>
      <c r="K32" s="55">
        <f>J32*1.08</f>
        <v/>
      </c>
      <c r="L32" s="30" t="n"/>
      <c r="M32" s="55">
        <f>L32/0.18</f>
        <v/>
      </c>
      <c r="N32" s="55">
        <f>M32*1.18</f>
        <v/>
      </c>
      <c r="O32" s="31">
        <f>G32+J32+M32</f>
        <v/>
      </c>
      <c r="P32" s="31">
        <f>H32+K32+N32</f>
        <v/>
      </c>
    </row>
    <row r="33" ht="12" customFormat="1" customHeight="1" s="7">
      <c r="A33" s="7" t="n"/>
      <c r="B33" s="13" t="n">
        <v>29</v>
      </c>
      <c r="C33" s="57" t="n"/>
      <c r="D33" s="51" t="n"/>
      <c r="E33" s="58" t="n"/>
      <c r="F33" s="30" t="n"/>
      <c r="G33" s="55">
        <f>F33/0.01</f>
        <v/>
      </c>
      <c r="H33" s="55">
        <f>G33*1.01</f>
        <v/>
      </c>
      <c r="I33" s="30" t="n"/>
      <c r="J33" s="55">
        <f>I33/0.08</f>
        <v/>
      </c>
      <c r="K33" s="55">
        <f>J33*1.08</f>
        <v/>
      </c>
      <c r="L33" s="30" t="n"/>
      <c r="M33" s="55">
        <f>L33/0.18</f>
        <v/>
      </c>
      <c r="N33" s="55">
        <f>M33*1.18</f>
        <v/>
      </c>
      <c r="O33" s="31">
        <f>G33+J33+M33</f>
        <v/>
      </c>
      <c r="P33" s="31">
        <f>H33+K33+N33</f>
        <v/>
      </c>
    </row>
    <row r="34" ht="12" customFormat="1" customHeight="1" s="7">
      <c r="A34" s="7" t="n"/>
      <c r="B34" s="13" t="n">
        <v>30</v>
      </c>
      <c r="C34" s="57" t="n"/>
      <c r="D34" s="51" t="n"/>
      <c r="E34" s="58" t="n"/>
      <c r="F34" s="30" t="n"/>
      <c r="G34" s="55">
        <f>F34/0.01</f>
        <v/>
      </c>
      <c r="H34" s="55">
        <f>G34*1.01</f>
        <v/>
      </c>
      <c r="I34" s="30" t="n"/>
      <c r="J34" s="55">
        <f>I34/0.08</f>
        <v/>
      </c>
      <c r="K34" s="55">
        <f>J34*1.08</f>
        <v/>
      </c>
      <c r="L34" s="30" t="n"/>
      <c r="M34" s="55">
        <f>L34/0.18</f>
        <v/>
      </c>
      <c r="N34" s="55">
        <f>M34*1.18</f>
        <v/>
      </c>
      <c r="O34" s="31">
        <f>G34+J34+M34</f>
        <v/>
      </c>
      <c r="P34" s="31">
        <f>H34+K34+N34</f>
        <v/>
      </c>
    </row>
    <row r="35" ht="12" customFormat="1" customHeight="1" s="7">
      <c r="A35" s="7" t="n"/>
      <c r="B35" s="13" t="n">
        <v>31</v>
      </c>
      <c r="C35" s="57" t="n"/>
      <c r="D35" s="51" t="n"/>
      <c r="E35" s="58" t="n"/>
      <c r="F35" s="30" t="n"/>
      <c r="G35" s="55">
        <f>F35/0.01</f>
        <v/>
      </c>
      <c r="H35" s="55">
        <f>G35*1.01</f>
        <v/>
      </c>
      <c r="I35" s="30" t="n"/>
      <c r="J35" s="55">
        <f>I35/0.08</f>
        <v/>
      </c>
      <c r="K35" s="55">
        <f>J35*1.08</f>
        <v/>
      </c>
      <c r="L35" s="30" t="n"/>
      <c r="M35" s="55">
        <f>L35/0.18</f>
        <v/>
      </c>
      <c r="N35" s="55">
        <f>M35*1.18</f>
        <v/>
      </c>
      <c r="O35" s="31">
        <f>G35+J35+M35</f>
        <v/>
      </c>
      <c r="P35" s="31">
        <f>H35+K35+N35</f>
        <v/>
      </c>
    </row>
    <row r="36" ht="12" customFormat="1" customHeight="1" s="7">
      <c r="A36" s="7" t="n"/>
      <c r="B36" s="13" t="n">
        <v>32</v>
      </c>
      <c r="C36" s="57" t="n"/>
      <c r="D36" s="51" t="n"/>
      <c r="E36" s="58" t="n"/>
      <c r="F36" s="30" t="n"/>
      <c r="G36" s="55">
        <f>F36/0.01</f>
        <v/>
      </c>
      <c r="H36" s="55">
        <f>G36*1.01</f>
        <v/>
      </c>
      <c r="I36" s="30" t="n"/>
      <c r="J36" s="55">
        <f>I36/0.08</f>
        <v/>
      </c>
      <c r="K36" s="55">
        <f>J36*1.08</f>
        <v/>
      </c>
      <c r="L36" s="30" t="n"/>
      <c r="M36" s="55">
        <f>L36/0.18</f>
        <v/>
      </c>
      <c r="N36" s="55">
        <f>M36*1.18</f>
        <v/>
      </c>
      <c r="O36" s="31">
        <f>G36+J36+M36</f>
        <v/>
      </c>
      <c r="P36" s="31">
        <f>H36+K36+N36</f>
        <v/>
      </c>
    </row>
    <row r="37" ht="12" customFormat="1" customHeight="1" s="7">
      <c r="A37" s="7" t="n"/>
      <c r="B37" s="13" t="n">
        <v>33</v>
      </c>
      <c r="C37" s="57" t="n"/>
      <c r="D37" s="51" t="n"/>
      <c r="E37" s="58" t="n"/>
      <c r="F37" s="30" t="n"/>
      <c r="G37" s="55">
        <f>F37/0.01</f>
        <v/>
      </c>
      <c r="H37" s="55">
        <f>G37*1.01</f>
        <v/>
      </c>
      <c r="I37" s="30" t="n"/>
      <c r="J37" s="55">
        <f>I37/0.08</f>
        <v/>
      </c>
      <c r="K37" s="55">
        <f>J37*1.08</f>
        <v/>
      </c>
      <c r="L37" s="30" t="n"/>
      <c r="M37" s="55">
        <f>L37/0.18</f>
        <v/>
      </c>
      <c r="N37" s="55">
        <f>M37*1.18</f>
        <v/>
      </c>
      <c r="O37" s="31">
        <f>G37+J37+M37</f>
        <v/>
      </c>
      <c r="P37" s="31">
        <f>H37+K37+N37</f>
        <v/>
      </c>
    </row>
    <row r="38" ht="12" customFormat="1" customHeight="1" s="7">
      <c r="A38" s="7" t="n"/>
      <c r="B38" s="13" t="n">
        <v>34</v>
      </c>
      <c r="C38" s="57" t="n"/>
      <c r="D38" s="51" t="n"/>
      <c r="E38" s="58" t="n"/>
      <c r="F38" s="30" t="n"/>
      <c r="G38" s="55">
        <f>F38/0.01</f>
        <v/>
      </c>
      <c r="H38" s="55">
        <f>G38*1.01</f>
        <v/>
      </c>
      <c r="I38" s="30" t="n"/>
      <c r="J38" s="55">
        <f>I38/0.08</f>
        <v/>
      </c>
      <c r="K38" s="55">
        <f>J38*1.08</f>
        <v/>
      </c>
      <c r="L38" s="30" t="n"/>
      <c r="M38" s="55">
        <f>L38/0.18</f>
        <v/>
      </c>
      <c r="N38" s="55">
        <f>M38*1.18</f>
        <v/>
      </c>
      <c r="O38" s="31">
        <f>G38+J38+M38</f>
        <v/>
      </c>
      <c r="P38" s="31">
        <f>H38+K38+N38</f>
        <v/>
      </c>
    </row>
    <row r="39" ht="12" customFormat="1" customHeight="1" s="7">
      <c r="A39" s="7" t="n"/>
      <c r="B39" s="13" t="n">
        <v>35</v>
      </c>
      <c r="C39" s="57" t="n"/>
      <c r="D39" s="51" t="n"/>
      <c r="E39" s="58" t="n"/>
      <c r="F39" s="30" t="n"/>
      <c r="G39" s="55">
        <f>F39/0.01</f>
        <v/>
      </c>
      <c r="H39" s="55">
        <f>G39*1.01</f>
        <v/>
      </c>
      <c r="I39" s="30" t="n"/>
      <c r="J39" s="55">
        <f>I39/0.08</f>
        <v/>
      </c>
      <c r="K39" s="55">
        <f>J39*1.08</f>
        <v/>
      </c>
      <c r="L39" s="30" t="n"/>
      <c r="M39" s="55">
        <f>L39/0.18</f>
        <v/>
      </c>
      <c r="N39" s="55">
        <f>M39*1.18</f>
        <v/>
      </c>
      <c r="O39" s="31">
        <f>G39+J39+M39</f>
        <v/>
      </c>
      <c r="P39" s="31">
        <f>H39+K39+N39</f>
        <v/>
      </c>
    </row>
    <row r="40" ht="12" customFormat="1" customHeight="1" s="7">
      <c r="A40" s="7" t="n"/>
      <c r="B40" s="13" t="n">
        <v>36</v>
      </c>
      <c r="C40" s="57" t="n"/>
      <c r="D40" s="51" t="n"/>
      <c r="E40" s="58" t="n"/>
      <c r="F40" s="30" t="n"/>
      <c r="G40" s="55">
        <f>F40/0.01</f>
        <v/>
      </c>
      <c r="H40" s="55">
        <f>G40*1.01</f>
        <v/>
      </c>
      <c r="I40" s="30" t="n"/>
      <c r="J40" s="55">
        <f>I40/0.08</f>
        <v/>
      </c>
      <c r="K40" s="55">
        <f>J40*1.08</f>
        <v/>
      </c>
      <c r="L40" s="30" t="n"/>
      <c r="M40" s="55">
        <f>L40/0.18</f>
        <v/>
      </c>
      <c r="N40" s="55">
        <f>M40*1.18</f>
        <v/>
      </c>
      <c r="O40" s="31">
        <f>G40+J40+M40</f>
        <v/>
      </c>
      <c r="P40" s="31">
        <f>H40+K40+N40</f>
        <v/>
      </c>
    </row>
    <row r="41" ht="12" customFormat="1" customHeight="1" s="7">
      <c r="A41" s="7" t="n"/>
      <c r="B41" s="13" t="n">
        <v>37</v>
      </c>
      <c r="C41" s="57" t="n"/>
      <c r="D41" s="51" t="n"/>
      <c r="E41" s="58" t="n"/>
      <c r="F41" s="30" t="n"/>
      <c r="G41" s="55">
        <f>F41/0.01</f>
        <v/>
      </c>
      <c r="H41" s="55">
        <f>G41*1.01</f>
        <v/>
      </c>
      <c r="I41" s="30" t="n"/>
      <c r="J41" s="55">
        <f>I41/0.08</f>
        <v/>
      </c>
      <c r="K41" s="55">
        <f>J41*1.08</f>
        <v/>
      </c>
      <c r="L41" s="30" t="n"/>
      <c r="M41" s="55">
        <f>L41/0.18</f>
        <v/>
      </c>
      <c r="N41" s="55">
        <f>M41*1.18</f>
        <v/>
      </c>
      <c r="O41" s="31">
        <f>G41+J41+M41</f>
        <v/>
      </c>
      <c r="P41" s="31">
        <f>H41+K41+N41</f>
        <v/>
      </c>
    </row>
    <row r="42" ht="12" customFormat="1" customHeight="1" s="7">
      <c r="A42" s="7" t="n"/>
      <c r="B42" s="13" t="n">
        <v>38</v>
      </c>
      <c r="C42" s="57" t="n"/>
      <c r="D42" s="51" t="n"/>
      <c r="E42" s="58" t="n"/>
      <c r="F42" s="30" t="n"/>
      <c r="G42" s="55">
        <f>F42/0.01</f>
        <v/>
      </c>
      <c r="H42" s="55">
        <f>G42*1.01</f>
        <v/>
      </c>
      <c r="I42" s="30" t="n"/>
      <c r="J42" s="55">
        <f>I42/0.08</f>
        <v/>
      </c>
      <c r="K42" s="55">
        <f>J42*1.08</f>
        <v/>
      </c>
      <c r="L42" s="30" t="n"/>
      <c r="M42" s="55">
        <f>L42/0.18</f>
        <v/>
      </c>
      <c r="N42" s="55">
        <f>M42*1.18</f>
        <v/>
      </c>
      <c r="O42" s="31">
        <f>G42+J42+M42</f>
        <v/>
      </c>
      <c r="P42" s="31">
        <f>H42+K42+N42</f>
        <v/>
      </c>
    </row>
    <row r="43" ht="12" customFormat="1" customHeight="1" s="7">
      <c r="A43" s="7" t="n"/>
      <c r="B43" s="13" t="n">
        <v>39</v>
      </c>
      <c r="C43" s="57" t="n"/>
      <c r="D43" s="51" t="n"/>
      <c r="E43" s="58" t="n"/>
      <c r="F43" s="30" t="n"/>
      <c r="G43" s="55">
        <f>F43/0.01</f>
        <v/>
      </c>
      <c r="H43" s="55">
        <f>G43*1.01</f>
        <v/>
      </c>
      <c r="I43" s="30" t="n"/>
      <c r="J43" s="55">
        <f>I43/0.08</f>
        <v/>
      </c>
      <c r="K43" s="55">
        <f>J43*1.08</f>
        <v/>
      </c>
      <c r="L43" s="30" t="n"/>
      <c r="M43" s="55">
        <f>L43/0.18</f>
        <v/>
      </c>
      <c r="N43" s="55">
        <f>M43*1.18</f>
        <v/>
      </c>
      <c r="O43" s="31">
        <f>G43+J43+M43</f>
        <v/>
      </c>
      <c r="P43" s="31">
        <f>H43+K43+N43</f>
        <v/>
      </c>
    </row>
    <row r="44" ht="12" customFormat="1" customHeight="1" s="7">
      <c r="A44" s="7" t="n"/>
      <c r="B44" s="13" t="n">
        <v>40</v>
      </c>
      <c r="C44" s="57" t="n"/>
      <c r="D44" s="51" t="n"/>
      <c r="E44" s="58" t="n"/>
      <c r="F44" s="30" t="n"/>
      <c r="G44" s="55">
        <f>F44/0.01</f>
        <v/>
      </c>
      <c r="H44" s="55">
        <f>G44*1.01</f>
        <v/>
      </c>
      <c r="I44" s="30" t="n"/>
      <c r="J44" s="55">
        <f>I44/0.08</f>
        <v/>
      </c>
      <c r="K44" s="55">
        <f>J44*1.08</f>
        <v/>
      </c>
      <c r="L44" s="30" t="n"/>
      <c r="M44" s="55">
        <f>L44/0.18</f>
        <v/>
      </c>
      <c r="N44" s="55">
        <f>M44*1.18</f>
        <v/>
      </c>
      <c r="O44" s="31">
        <f>G44+J44+M44</f>
        <v/>
      </c>
      <c r="P44" s="31">
        <f>H44+K44+N44</f>
        <v/>
      </c>
    </row>
    <row r="45" ht="12" customFormat="1" customHeight="1" s="7">
      <c r="A45" s="7" t="n"/>
      <c r="B45" s="13" t="n">
        <v>41</v>
      </c>
      <c r="C45" s="57" t="n"/>
      <c r="D45" s="51" t="n"/>
      <c r="E45" s="58" t="n"/>
      <c r="F45" s="30" t="n"/>
      <c r="G45" s="55">
        <f>F45/0.01</f>
        <v/>
      </c>
      <c r="H45" s="55">
        <f>G45*1.01</f>
        <v/>
      </c>
      <c r="I45" s="30" t="n"/>
      <c r="J45" s="55">
        <f>I45/0.08</f>
        <v/>
      </c>
      <c r="K45" s="55">
        <f>J45*1.08</f>
        <v/>
      </c>
      <c r="L45" s="30" t="n"/>
      <c r="M45" s="55">
        <f>L45/0.18</f>
        <v/>
      </c>
      <c r="N45" s="55">
        <f>M45*1.18</f>
        <v/>
      </c>
      <c r="O45" s="31">
        <f>G45+J45+M45</f>
        <v/>
      </c>
      <c r="P45" s="31">
        <f>H45+K45+N45</f>
        <v/>
      </c>
    </row>
    <row r="46" ht="12" customFormat="1" customHeight="1" s="7">
      <c r="A46" s="7" t="n"/>
      <c r="B46" s="13" t="n">
        <v>42</v>
      </c>
      <c r="C46" s="57" t="n"/>
      <c r="D46" s="51" t="n"/>
      <c r="E46" s="58" t="n"/>
      <c r="F46" s="30" t="n"/>
      <c r="G46" s="55">
        <f>F46/0.01</f>
        <v/>
      </c>
      <c r="H46" s="55">
        <f>G46*1.01</f>
        <v/>
      </c>
      <c r="I46" s="30" t="n"/>
      <c r="J46" s="55">
        <f>I46/0.08</f>
        <v/>
      </c>
      <c r="K46" s="55">
        <f>J46*1.08</f>
        <v/>
      </c>
      <c r="L46" s="30" t="n"/>
      <c r="M46" s="55">
        <f>L46/0.18</f>
        <v/>
      </c>
      <c r="N46" s="55">
        <f>M46*1.18</f>
        <v/>
      </c>
      <c r="O46" s="31">
        <f>G46+J46+M46</f>
        <v/>
      </c>
      <c r="P46" s="31">
        <f>H46+K46+N46</f>
        <v/>
      </c>
    </row>
    <row r="47" ht="12" customFormat="1" customHeight="1" s="7">
      <c r="A47" s="7" t="n"/>
      <c r="B47" s="13" t="n">
        <v>43</v>
      </c>
      <c r="C47" s="57" t="n"/>
      <c r="D47" s="51" t="n"/>
      <c r="E47" s="58" t="n"/>
      <c r="F47" s="30" t="n"/>
      <c r="G47" s="55">
        <f>F47/0.01</f>
        <v/>
      </c>
      <c r="H47" s="55">
        <f>G47*1.01</f>
        <v/>
      </c>
      <c r="I47" s="30" t="n"/>
      <c r="J47" s="55">
        <f>I47/0.08</f>
        <v/>
      </c>
      <c r="K47" s="55">
        <f>J47*1.08</f>
        <v/>
      </c>
      <c r="L47" s="30" t="n"/>
      <c r="M47" s="55">
        <f>L47/0.18</f>
        <v/>
      </c>
      <c r="N47" s="55">
        <f>M47*1.18</f>
        <v/>
      </c>
      <c r="O47" s="31">
        <f>G47+J47+M47</f>
        <v/>
      </c>
      <c r="P47" s="31">
        <f>H47+K47+N47</f>
        <v/>
      </c>
    </row>
    <row r="48" ht="12" customFormat="1" customHeight="1" s="7">
      <c r="A48" s="7" t="n"/>
      <c r="B48" s="13" t="n">
        <v>44</v>
      </c>
      <c r="C48" s="57" t="n"/>
      <c r="D48" s="51" t="n"/>
      <c r="E48" s="58" t="n"/>
      <c r="F48" s="30" t="n"/>
      <c r="G48" s="55">
        <f>F48/0.01</f>
        <v/>
      </c>
      <c r="H48" s="55">
        <f>G48*1.01</f>
        <v/>
      </c>
      <c r="I48" s="30" t="n"/>
      <c r="J48" s="55">
        <f>I48/0.08</f>
        <v/>
      </c>
      <c r="K48" s="55">
        <f>J48*1.08</f>
        <v/>
      </c>
      <c r="L48" s="30" t="n"/>
      <c r="M48" s="55">
        <f>L48/0.18</f>
        <v/>
      </c>
      <c r="N48" s="55">
        <f>M48*1.18</f>
        <v/>
      </c>
      <c r="O48" s="31">
        <f>G48+J48+M48</f>
        <v/>
      </c>
      <c r="P48" s="31">
        <f>H48+K48+N48</f>
        <v/>
      </c>
    </row>
    <row r="49" ht="12" customFormat="1" customHeight="1" s="7">
      <c r="A49" s="7" t="n"/>
      <c r="B49" s="13" t="n">
        <v>45</v>
      </c>
      <c r="C49" s="57" t="n"/>
      <c r="D49" s="51" t="n"/>
      <c r="E49" s="58" t="n"/>
      <c r="F49" s="30" t="n"/>
      <c r="G49" s="55">
        <f>F49/0.01</f>
        <v/>
      </c>
      <c r="H49" s="55">
        <f>G49*1.01</f>
        <v/>
      </c>
      <c r="I49" s="30" t="n"/>
      <c r="J49" s="55">
        <f>I49/0.08</f>
        <v/>
      </c>
      <c r="K49" s="55">
        <f>J49*1.08</f>
        <v/>
      </c>
      <c r="L49" s="30" t="n"/>
      <c r="M49" s="55">
        <f>L49/0.18</f>
        <v/>
      </c>
      <c r="N49" s="55">
        <f>M49*1.18</f>
        <v/>
      </c>
      <c r="O49" s="31">
        <f>G49+J49+M49</f>
        <v/>
      </c>
      <c r="P49" s="31">
        <f>H49+K49+N49</f>
        <v/>
      </c>
    </row>
    <row r="50" ht="12" customFormat="1" customHeight="1" s="7">
      <c r="A50" s="7" t="n"/>
      <c r="B50" s="13" t="n">
        <v>46</v>
      </c>
      <c r="C50" s="57" t="n"/>
      <c r="D50" s="51" t="n"/>
      <c r="E50" s="58" t="n"/>
      <c r="F50" s="30" t="n"/>
      <c r="G50" s="55">
        <f>F50/0.01</f>
        <v/>
      </c>
      <c r="H50" s="55">
        <f>G50*1.01</f>
        <v/>
      </c>
      <c r="I50" s="30" t="n"/>
      <c r="J50" s="55">
        <f>I50/0.08</f>
        <v/>
      </c>
      <c r="K50" s="55">
        <f>J50*1.08</f>
        <v/>
      </c>
      <c r="L50" s="30" t="n"/>
      <c r="M50" s="55">
        <f>L50/0.18</f>
        <v/>
      </c>
      <c r="N50" s="55">
        <f>M50*1.18</f>
        <v/>
      </c>
      <c r="O50" s="31">
        <f>G50+J50+M50</f>
        <v/>
      </c>
      <c r="P50" s="31">
        <f>H50+K50+N50</f>
        <v/>
      </c>
    </row>
    <row r="51" ht="12" customFormat="1" customHeight="1" s="7">
      <c r="A51" s="7" t="n"/>
      <c r="B51" s="13" t="n">
        <v>47</v>
      </c>
      <c r="C51" s="57" t="n"/>
      <c r="D51" s="51" t="n"/>
      <c r="E51" s="58" t="n"/>
      <c r="F51" s="30" t="n"/>
      <c r="G51" s="55">
        <f>F51/0.01</f>
        <v/>
      </c>
      <c r="H51" s="55">
        <f>G51*1.01</f>
        <v/>
      </c>
      <c r="I51" s="30" t="n"/>
      <c r="J51" s="55">
        <f>I51/0.08</f>
        <v/>
      </c>
      <c r="K51" s="55">
        <f>J51*1.08</f>
        <v/>
      </c>
      <c r="L51" s="30" t="n"/>
      <c r="M51" s="55">
        <f>L51/0.18</f>
        <v/>
      </c>
      <c r="N51" s="55">
        <f>M51*1.18</f>
        <v/>
      </c>
      <c r="O51" s="31">
        <f>G51+J51+M51</f>
        <v/>
      </c>
      <c r="P51" s="31">
        <f>H51+K51+N51</f>
        <v/>
      </c>
    </row>
    <row r="52" ht="12" customFormat="1" customHeight="1" s="7">
      <c r="A52" s="7" t="n"/>
      <c r="B52" s="13" t="n">
        <v>48</v>
      </c>
      <c r="C52" s="57" t="n"/>
      <c r="D52" s="51" t="n"/>
      <c r="E52" s="58" t="n"/>
      <c r="F52" s="30" t="n"/>
      <c r="G52" s="55">
        <f>F52/0.01</f>
        <v/>
      </c>
      <c r="H52" s="55">
        <f>G52*1.01</f>
        <v/>
      </c>
      <c r="I52" s="30" t="n"/>
      <c r="J52" s="55">
        <f>I52/0.08</f>
        <v/>
      </c>
      <c r="K52" s="55">
        <f>J52*1.08</f>
        <v/>
      </c>
      <c r="L52" s="30" t="n"/>
      <c r="M52" s="55">
        <f>L52/0.18</f>
        <v/>
      </c>
      <c r="N52" s="55">
        <f>M52*1.18</f>
        <v/>
      </c>
      <c r="O52" s="31">
        <f>G52+J52+M52</f>
        <v/>
      </c>
      <c r="P52" s="31">
        <f>H52+K52+N52</f>
        <v/>
      </c>
    </row>
    <row r="53" ht="12" customFormat="1" customHeight="1" s="7">
      <c r="A53" s="7" t="n"/>
      <c r="B53" s="13" t="n">
        <v>49</v>
      </c>
      <c r="C53" s="57" t="n"/>
      <c r="D53" s="51" t="n"/>
      <c r="E53" s="58" t="n"/>
      <c r="F53" s="30" t="n"/>
      <c r="G53" s="55">
        <f>F53/0.01</f>
        <v/>
      </c>
      <c r="H53" s="55">
        <f>G53*1.01</f>
        <v/>
      </c>
      <c r="I53" s="30" t="n"/>
      <c r="J53" s="55">
        <f>I53/0.08</f>
        <v/>
      </c>
      <c r="K53" s="55">
        <f>J53*1.08</f>
        <v/>
      </c>
      <c r="L53" s="30" t="n"/>
      <c r="M53" s="55">
        <f>L53/0.18</f>
        <v/>
      </c>
      <c r="N53" s="55">
        <f>M53*1.18</f>
        <v/>
      </c>
      <c r="O53" s="31">
        <f>G53+J53+M53</f>
        <v/>
      </c>
      <c r="P53" s="31">
        <f>H53+K53+N53</f>
        <v/>
      </c>
    </row>
    <row r="54" ht="12" customFormat="1" customHeight="1" s="7">
      <c r="A54" s="7" t="n"/>
      <c r="B54" s="13" t="n">
        <v>50</v>
      </c>
      <c r="C54" s="57" t="n"/>
      <c r="D54" s="51" t="n"/>
      <c r="E54" s="58" t="n"/>
      <c r="F54" s="30" t="n"/>
      <c r="G54" s="55">
        <f>F54/0.01</f>
        <v/>
      </c>
      <c r="H54" s="55">
        <f>G54*1.01</f>
        <v/>
      </c>
      <c r="I54" s="30" t="n"/>
      <c r="J54" s="55">
        <f>I54/0.08</f>
        <v/>
      </c>
      <c r="K54" s="55">
        <f>J54*1.08</f>
        <v/>
      </c>
      <c r="L54" s="30" t="n"/>
      <c r="M54" s="55">
        <f>L54/0.18</f>
        <v/>
      </c>
      <c r="N54" s="55">
        <f>M54*1.18</f>
        <v/>
      </c>
      <c r="O54" s="31">
        <f>G54+J54+M54</f>
        <v/>
      </c>
      <c r="P54" s="31">
        <f>H54+K54+N54</f>
        <v/>
      </c>
    </row>
    <row r="55" ht="12" customFormat="1" customHeight="1" s="7">
      <c r="A55" s="7" t="n"/>
      <c r="B55" s="13" t="n">
        <v>51</v>
      </c>
      <c r="C55" s="57" t="n"/>
      <c r="D55" s="51" t="n"/>
      <c r="E55" s="58" t="n"/>
      <c r="F55" s="30" t="n"/>
      <c r="G55" s="55">
        <f>F55/0.01</f>
        <v/>
      </c>
      <c r="H55" s="55">
        <f>G55*1.01</f>
        <v/>
      </c>
      <c r="I55" s="30" t="n"/>
      <c r="J55" s="55">
        <f>I55/0.08</f>
        <v/>
      </c>
      <c r="K55" s="55">
        <f>J55*1.08</f>
        <v/>
      </c>
      <c r="L55" s="30" t="n"/>
      <c r="M55" s="55">
        <f>L55/0.18</f>
        <v/>
      </c>
      <c r="N55" s="55">
        <f>M55*1.18</f>
        <v/>
      </c>
      <c r="O55" s="31">
        <f>G55+J55+M55</f>
        <v/>
      </c>
      <c r="P55" s="31">
        <f>H55+K55+N55</f>
        <v/>
      </c>
    </row>
    <row r="56" ht="12" customFormat="1" customHeight="1" s="7">
      <c r="A56" s="7" t="n"/>
      <c r="B56" s="13" t="n">
        <v>52</v>
      </c>
      <c r="C56" s="57" t="n"/>
      <c r="D56" s="51" t="n"/>
      <c r="E56" s="58" t="n"/>
      <c r="F56" s="30" t="n"/>
      <c r="G56" s="55">
        <f>F56/0.01</f>
        <v/>
      </c>
      <c r="H56" s="55">
        <f>G56*1.01</f>
        <v/>
      </c>
      <c r="I56" s="30" t="n"/>
      <c r="J56" s="55">
        <f>I56/0.08</f>
        <v/>
      </c>
      <c r="K56" s="55">
        <f>J56*1.08</f>
        <v/>
      </c>
      <c r="L56" s="30" t="n"/>
      <c r="M56" s="55">
        <f>L56/0.18</f>
        <v/>
      </c>
      <c r="N56" s="55">
        <f>M56*1.18</f>
        <v/>
      </c>
      <c r="O56" s="31">
        <f>G56+J56+M56</f>
        <v/>
      </c>
      <c r="P56" s="31">
        <f>H56+K56+N56</f>
        <v/>
      </c>
    </row>
    <row r="57" ht="12" customFormat="1" customHeight="1" s="7">
      <c r="A57" s="7" t="n"/>
      <c r="B57" s="13" t="n">
        <v>53</v>
      </c>
      <c r="C57" s="57" t="n"/>
      <c r="D57" s="51" t="n"/>
      <c r="E57" s="58" t="n"/>
      <c r="F57" s="30" t="n"/>
      <c r="G57" s="55">
        <f>F57/0.01</f>
        <v/>
      </c>
      <c r="H57" s="55">
        <f>G57*1.01</f>
        <v/>
      </c>
      <c r="I57" s="30" t="n"/>
      <c r="J57" s="55">
        <f>I57/0.08</f>
        <v/>
      </c>
      <c r="K57" s="55">
        <f>J57*1.08</f>
        <v/>
      </c>
      <c r="L57" s="30" t="n"/>
      <c r="M57" s="55">
        <f>L57/0.18</f>
        <v/>
      </c>
      <c r="N57" s="55">
        <f>M57*1.18</f>
        <v/>
      </c>
      <c r="O57" s="31">
        <f>G57+J57+M57</f>
        <v/>
      </c>
      <c r="P57" s="31">
        <f>H57+K57+N57</f>
        <v/>
      </c>
    </row>
    <row r="58" ht="12" customFormat="1" customHeight="1" s="7">
      <c r="A58" s="7" t="n"/>
      <c r="B58" s="13" t="n">
        <v>54</v>
      </c>
      <c r="C58" s="57" t="n"/>
      <c r="D58" s="51" t="n"/>
      <c r="E58" s="58" t="n"/>
      <c r="F58" s="30" t="n"/>
      <c r="G58" s="55">
        <f>F58/0.01</f>
        <v/>
      </c>
      <c r="H58" s="55">
        <f>G58*1.01</f>
        <v/>
      </c>
      <c r="I58" s="30" t="n"/>
      <c r="J58" s="55">
        <f>I58/0.08</f>
        <v/>
      </c>
      <c r="K58" s="55">
        <f>J58*1.08</f>
        <v/>
      </c>
      <c r="L58" s="30" t="n"/>
      <c r="M58" s="55">
        <f>L58/0.18</f>
        <v/>
      </c>
      <c r="N58" s="55">
        <f>M58*1.18</f>
        <v/>
      </c>
      <c r="O58" s="31">
        <f>G58+J58+M58</f>
        <v/>
      </c>
      <c r="P58" s="31">
        <f>H58+K58+N58</f>
        <v/>
      </c>
    </row>
    <row r="59" ht="12" customFormat="1" customHeight="1" s="7">
      <c r="A59" s="7" t="n"/>
      <c r="B59" s="13" t="n">
        <v>55</v>
      </c>
      <c r="C59" s="57" t="n"/>
      <c r="D59" s="51" t="n"/>
      <c r="E59" s="58" t="n"/>
      <c r="F59" s="30" t="n"/>
      <c r="G59" s="55">
        <f>F59/0.01</f>
        <v/>
      </c>
      <c r="H59" s="55">
        <f>G59*1.01</f>
        <v/>
      </c>
      <c r="I59" s="30" t="n"/>
      <c r="J59" s="55">
        <f>I59/0.08</f>
        <v/>
      </c>
      <c r="K59" s="55">
        <f>J59*1.08</f>
        <v/>
      </c>
      <c r="L59" s="30" t="n"/>
      <c r="M59" s="55">
        <f>L59/0.18</f>
        <v/>
      </c>
      <c r="N59" s="55">
        <f>M59*1.18</f>
        <v/>
      </c>
      <c r="O59" s="31">
        <f>G59+J59+M59</f>
        <v/>
      </c>
      <c r="P59" s="31">
        <f>H59+K59+N59</f>
        <v/>
      </c>
    </row>
    <row r="60" ht="12" customFormat="1" customHeight="1" s="7">
      <c r="A60" s="7" t="n"/>
      <c r="B60" s="13" t="n">
        <v>56</v>
      </c>
      <c r="C60" s="57" t="n"/>
      <c r="D60" s="51" t="n"/>
      <c r="E60" s="58" t="n"/>
      <c r="F60" s="30" t="n"/>
      <c r="G60" s="55">
        <f>F60/0.01</f>
        <v/>
      </c>
      <c r="H60" s="55">
        <f>G60*1.01</f>
        <v/>
      </c>
      <c r="I60" s="30" t="n"/>
      <c r="J60" s="55">
        <f>I60/0.08</f>
        <v/>
      </c>
      <c r="K60" s="55">
        <f>J60*1.08</f>
        <v/>
      </c>
      <c r="L60" s="30" t="n"/>
      <c r="M60" s="55">
        <f>L60/0.18</f>
        <v/>
      </c>
      <c r="N60" s="55">
        <f>M60*1.18</f>
        <v/>
      </c>
      <c r="O60" s="31">
        <f>G60+J60+M60</f>
        <v/>
      </c>
      <c r="P60" s="31">
        <f>H60+K60+N60</f>
        <v/>
      </c>
    </row>
    <row r="61" ht="12" customFormat="1" customHeight="1" s="7">
      <c r="A61" s="7" t="n"/>
      <c r="B61" s="13" t="n">
        <v>57</v>
      </c>
      <c r="C61" s="57" t="n"/>
      <c r="D61" s="51" t="n"/>
      <c r="E61" s="58" t="n"/>
      <c r="F61" s="30" t="n"/>
      <c r="G61" s="55">
        <f>F61/0.01</f>
        <v/>
      </c>
      <c r="H61" s="55">
        <f>G61*1.01</f>
        <v/>
      </c>
      <c r="I61" s="30" t="n"/>
      <c r="J61" s="55">
        <f>I61/0.08</f>
        <v/>
      </c>
      <c r="K61" s="55">
        <f>J61*1.08</f>
        <v/>
      </c>
      <c r="L61" s="30" t="n"/>
      <c r="M61" s="55">
        <f>L61/0.18</f>
        <v/>
      </c>
      <c r="N61" s="55">
        <f>M61*1.18</f>
        <v/>
      </c>
      <c r="O61" s="31">
        <f>G61+J61+M61</f>
        <v/>
      </c>
      <c r="P61" s="31">
        <f>H61+K61+N61</f>
        <v/>
      </c>
    </row>
    <row r="62" ht="12" customFormat="1" customHeight="1" s="7">
      <c r="A62" s="7" t="n"/>
      <c r="B62" s="13" t="n">
        <v>58</v>
      </c>
      <c r="C62" s="57" t="n"/>
      <c r="D62" s="51" t="n"/>
      <c r="E62" s="58" t="n"/>
      <c r="F62" s="30" t="n"/>
      <c r="G62" s="55">
        <f>F62/0.01</f>
        <v/>
      </c>
      <c r="H62" s="55">
        <f>G62*1.01</f>
        <v/>
      </c>
      <c r="I62" s="30" t="n"/>
      <c r="J62" s="55">
        <f>I62/0.08</f>
        <v/>
      </c>
      <c r="K62" s="55">
        <f>J62*1.08</f>
        <v/>
      </c>
      <c r="L62" s="30" t="n"/>
      <c r="M62" s="55">
        <f>L62/0.18</f>
        <v/>
      </c>
      <c r="N62" s="55">
        <f>M62*1.18</f>
        <v/>
      </c>
      <c r="O62" s="31">
        <f>G62+J62+M62</f>
        <v/>
      </c>
      <c r="P62" s="31">
        <f>H62+K62+N62</f>
        <v/>
      </c>
    </row>
    <row r="63" ht="12" customFormat="1" customHeight="1" s="7">
      <c r="A63" s="7" t="n"/>
      <c r="B63" s="13" t="n">
        <v>59</v>
      </c>
      <c r="C63" s="57" t="n"/>
      <c r="D63" s="51" t="n"/>
      <c r="E63" s="58" t="n"/>
      <c r="F63" s="30" t="n"/>
      <c r="G63" s="55">
        <f>F63/0.01</f>
        <v/>
      </c>
      <c r="H63" s="55">
        <f>G63*1.01</f>
        <v/>
      </c>
      <c r="I63" s="30" t="n"/>
      <c r="J63" s="55">
        <f>I63/0.08</f>
        <v/>
      </c>
      <c r="K63" s="55">
        <f>J63*1.08</f>
        <v/>
      </c>
      <c r="L63" s="30" t="n"/>
      <c r="M63" s="55">
        <f>L63/0.18</f>
        <v/>
      </c>
      <c r="N63" s="55">
        <f>M63*1.18</f>
        <v/>
      </c>
      <c r="O63" s="31">
        <f>G63+J63+M63</f>
        <v/>
      </c>
      <c r="P63" s="31">
        <f>H63+K63+N63</f>
        <v/>
      </c>
    </row>
    <row r="64" ht="12" customFormat="1" customHeight="1" s="7">
      <c r="A64" s="7" t="n"/>
      <c r="B64" s="13" t="n">
        <v>60</v>
      </c>
      <c r="C64" s="57" t="n"/>
      <c r="D64" s="51" t="n"/>
      <c r="E64" s="58" t="n"/>
      <c r="F64" s="30" t="n"/>
      <c r="G64" s="55">
        <f>F64/0.01</f>
        <v/>
      </c>
      <c r="H64" s="55">
        <f>G64*1.01</f>
        <v/>
      </c>
      <c r="I64" s="30" t="n"/>
      <c r="J64" s="55">
        <f>I64/0.08</f>
        <v/>
      </c>
      <c r="K64" s="55">
        <f>J64*1.08</f>
        <v/>
      </c>
      <c r="L64" s="30" t="n"/>
      <c r="M64" s="55">
        <f>L64/0.18</f>
        <v/>
      </c>
      <c r="N64" s="55">
        <f>M64*1.18</f>
        <v/>
      </c>
      <c r="O64" s="31">
        <f>G64+J64+M64</f>
        <v/>
      </c>
      <c r="P64" s="31">
        <f>H64+K64+N64</f>
        <v/>
      </c>
    </row>
    <row r="65" ht="12" customFormat="1" customHeight="1" s="7">
      <c r="A65" s="7" t="n"/>
      <c r="B65" s="13" t="n">
        <v>61</v>
      </c>
      <c r="C65" s="57" t="n"/>
      <c r="D65" s="51" t="n"/>
      <c r="E65" s="58" t="n"/>
      <c r="F65" s="30" t="n"/>
      <c r="G65" s="55">
        <f>F65/0.01</f>
        <v/>
      </c>
      <c r="H65" s="55">
        <f>G65*1.01</f>
        <v/>
      </c>
      <c r="I65" s="30" t="n"/>
      <c r="J65" s="55">
        <f>I65/0.08</f>
        <v/>
      </c>
      <c r="K65" s="55">
        <f>J65*1.08</f>
        <v/>
      </c>
      <c r="L65" s="30" t="n"/>
      <c r="M65" s="55">
        <f>L65/0.18</f>
        <v/>
      </c>
      <c r="N65" s="55">
        <f>M65*1.18</f>
        <v/>
      </c>
      <c r="O65" s="31">
        <f>G65+J65+M65</f>
        <v/>
      </c>
      <c r="P65" s="31">
        <f>H65+K65+N65</f>
        <v/>
      </c>
    </row>
    <row r="66" ht="12" customFormat="1" customHeight="1" s="7">
      <c r="A66" s="7" t="n"/>
      <c r="B66" s="13" t="n">
        <v>62</v>
      </c>
      <c r="C66" s="57" t="n"/>
      <c r="D66" s="51" t="n"/>
      <c r="E66" s="32" t="n"/>
      <c r="F66" s="30" t="n"/>
      <c r="G66" s="55">
        <f>F66/0.01</f>
        <v/>
      </c>
      <c r="H66" s="55">
        <f>G66*1.01</f>
        <v/>
      </c>
      <c r="I66" s="30" t="n"/>
      <c r="J66" s="55">
        <f>I66/0.08</f>
        <v/>
      </c>
      <c r="K66" s="55">
        <f>J66*1.08</f>
        <v/>
      </c>
      <c r="L66" s="30" t="n"/>
      <c r="M66" s="55">
        <f>L66/0.18</f>
        <v/>
      </c>
      <c r="N66" s="55">
        <f>M66*1.18</f>
        <v/>
      </c>
      <c r="O66" s="31">
        <f>G66+J66+M66</f>
        <v/>
      </c>
      <c r="P66" s="31">
        <f>H66+K66+N66</f>
        <v/>
      </c>
    </row>
    <row r="67" ht="12" customFormat="1" customHeight="1" s="7">
      <c r="A67" s="7" t="n"/>
      <c r="B67" s="13" t="n">
        <v>63</v>
      </c>
      <c r="C67" s="57" t="n"/>
      <c r="D67" s="51" t="n"/>
      <c r="E67" s="32" t="n"/>
      <c r="F67" s="30" t="n"/>
      <c r="G67" s="55">
        <f>F67/0.01</f>
        <v/>
      </c>
      <c r="H67" s="55">
        <f>G67*1.01</f>
        <v/>
      </c>
      <c r="I67" s="30" t="n"/>
      <c r="J67" s="55">
        <f>I67/0.08</f>
        <v/>
      </c>
      <c r="K67" s="55">
        <f>J67*1.08</f>
        <v/>
      </c>
      <c r="L67" s="30" t="n"/>
      <c r="M67" s="55">
        <f>L67/0.18</f>
        <v/>
      </c>
      <c r="N67" s="55">
        <f>M67*1.18</f>
        <v/>
      </c>
      <c r="O67" s="31">
        <f>G67+J67+M67</f>
        <v/>
      </c>
      <c r="P67" s="31">
        <f>H67+K67+N67</f>
        <v/>
      </c>
    </row>
    <row r="68" ht="12" customFormat="1" customHeight="1" s="7">
      <c r="A68" s="7" t="n"/>
      <c r="B68" s="13" t="n">
        <v>64</v>
      </c>
      <c r="C68" s="57" t="n"/>
      <c r="D68" s="51" t="n"/>
      <c r="E68" s="32" t="n"/>
      <c r="F68" s="30" t="n"/>
      <c r="G68" s="55">
        <f>F68/0.01</f>
        <v/>
      </c>
      <c r="H68" s="55">
        <f>G68*1.01</f>
        <v/>
      </c>
      <c r="I68" s="30" t="n"/>
      <c r="J68" s="55">
        <f>I68/0.08</f>
        <v/>
      </c>
      <c r="K68" s="55">
        <f>J68*1.08</f>
        <v/>
      </c>
      <c r="L68" s="30" t="n"/>
      <c r="M68" s="55">
        <f>L68/0.18</f>
        <v/>
      </c>
      <c r="N68" s="55">
        <f>M68*1.18</f>
        <v/>
      </c>
      <c r="O68" s="31">
        <f>G68+J68+M68</f>
        <v/>
      </c>
      <c r="P68" s="31">
        <f>H68+K68+N68</f>
        <v/>
      </c>
    </row>
    <row r="69" ht="12" customFormat="1" customHeight="1" s="7">
      <c r="A69" s="7" t="n"/>
      <c r="B69" s="13" t="n">
        <v>65</v>
      </c>
      <c r="C69" s="57" t="n"/>
      <c r="D69" s="51" t="n"/>
      <c r="E69" s="32" t="n"/>
      <c r="F69" s="30" t="n"/>
      <c r="G69" s="55">
        <f>F69/0.01</f>
        <v/>
      </c>
      <c r="H69" s="55">
        <f>G69*1.01</f>
        <v/>
      </c>
      <c r="I69" s="30" t="n"/>
      <c r="J69" s="55">
        <f>I69/0.08</f>
        <v/>
      </c>
      <c r="K69" s="55">
        <f>J69*1.08</f>
        <v/>
      </c>
      <c r="L69" s="30" t="n"/>
      <c r="M69" s="55">
        <f>L69/0.18</f>
        <v/>
      </c>
      <c r="N69" s="55">
        <f>M69*1.18</f>
        <v/>
      </c>
      <c r="O69" s="31">
        <f>G69+J69+M69</f>
        <v/>
      </c>
      <c r="P69" s="31">
        <f>H69+K69+N69</f>
        <v/>
      </c>
    </row>
    <row r="70" ht="12" customFormat="1" customHeight="1" s="7">
      <c r="A70" s="7" t="n"/>
      <c r="B70" s="13" t="n">
        <v>66</v>
      </c>
      <c r="C70" s="57" t="n"/>
      <c r="D70" s="51" t="n"/>
      <c r="E70" s="32" t="n"/>
      <c r="F70" s="30" t="n"/>
      <c r="G70" s="55">
        <f>F70/0.01</f>
        <v/>
      </c>
      <c r="H70" s="55">
        <f>G70*1.01</f>
        <v/>
      </c>
      <c r="I70" s="30" t="n"/>
      <c r="J70" s="55">
        <f>I70/0.08</f>
        <v/>
      </c>
      <c r="K70" s="55">
        <f>J70*1.08</f>
        <v/>
      </c>
      <c r="L70" s="30" t="n"/>
      <c r="M70" s="55">
        <f>L70/0.18</f>
        <v/>
      </c>
      <c r="N70" s="55">
        <f>M70*1.18</f>
        <v/>
      </c>
      <c r="O70" s="31">
        <f>G70+J70+M70</f>
        <v/>
      </c>
      <c r="P70" s="31">
        <f>H70+K70+N70</f>
        <v/>
      </c>
    </row>
    <row r="71" ht="12" customFormat="1" customHeight="1" s="7">
      <c r="A71" s="7" t="n"/>
      <c r="B71" s="13" t="n">
        <v>67</v>
      </c>
      <c r="C71" s="57" t="n"/>
      <c r="D71" s="51" t="n"/>
      <c r="E71" s="32" t="n"/>
      <c r="F71" s="30" t="n"/>
      <c r="G71" s="55">
        <f>F71/0.01</f>
        <v/>
      </c>
      <c r="H71" s="55">
        <f>G71*1.01</f>
        <v/>
      </c>
      <c r="I71" s="30" t="n"/>
      <c r="J71" s="55">
        <f>I71/0.08</f>
        <v/>
      </c>
      <c r="K71" s="55">
        <f>J71*1.08</f>
        <v/>
      </c>
      <c r="L71" s="30" t="n"/>
      <c r="M71" s="55">
        <f>L71/0.18</f>
        <v/>
      </c>
      <c r="N71" s="55">
        <f>M71*1.18</f>
        <v/>
      </c>
      <c r="O71" s="31">
        <f>G71+J71+M71</f>
        <v/>
      </c>
      <c r="P71" s="31">
        <f>H71+K71+N71</f>
        <v/>
      </c>
    </row>
    <row r="72" ht="12" customFormat="1" customHeight="1" s="7">
      <c r="A72" s="7" t="n"/>
      <c r="B72" s="13" t="n">
        <v>68</v>
      </c>
      <c r="C72" s="57" t="n"/>
      <c r="D72" s="51" t="n"/>
      <c r="E72" s="32" t="n"/>
      <c r="F72" s="30" t="n"/>
      <c r="G72" s="55">
        <f>F72/0.01</f>
        <v/>
      </c>
      <c r="H72" s="55">
        <f>G72*1.01</f>
        <v/>
      </c>
      <c r="I72" s="30" t="n"/>
      <c r="J72" s="55">
        <f>I72/0.08</f>
        <v/>
      </c>
      <c r="K72" s="55">
        <f>J72*1.08</f>
        <v/>
      </c>
      <c r="L72" s="30" t="n"/>
      <c r="M72" s="55">
        <f>L72/0.18</f>
        <v/>
      </c>
      <c r="N72" s="55">
        <f>M72*1.18</f>
        <v/>
      </c>
      <c r="O72" s="31">
        <f>G72+J72+M72</f>
        <v/>
      </c>
      <c r="P72" s="31">
        <f>H72+K72+N72</f>
        <v/>
      </c>
    </row>
    <row r="73" ht="12" customFormat="1" customHeight="1" s="7">
      <c r="A73" s="7" t="n"/>
      <c r="B73" s="13" t="n">
        <v>69</v>
      </c>
      <c r="C73" s="57" t="n"/>
      <c r="D73" s="51" t="n"/>
      <c r="E73" s="32" t="n"/>
      <c r="F73" s="30" t="n"/>
      <c r="G73" s="55">
        <f>F73/0.01</f>
        <v/>
      </c>
      <c r="H73" s="55">
        <f>G73*1.01</f>
        <v/>
      </c>
      <c r="I73" s="30" t="n"/>
      <c r="J73" s="55">
        <f>I73/0.08</f>
        <v/>
      </c>
      <c r="K73" s="55">
        <f>J73*1.08</f>
        <v/>
      </c>
      <c r="L73" s="30" t="n"/>
      <c r="M73" s="55">
        <f>L73/0.18</f>
        <v/>
      </c>
      <c r="N73" s="55">
        <f>M73*1.18</f>
        <v/>
      </c>
      <c r="O73" s="31">
        <f>G73+J73+M73</f>
        <v/>
      </c>
      <c r="P73" s="31">
        <f>H73+K73+N73</f>
        <v/>
      </c>
    </row>
    <row r="74" ht="12" customFormat="1" customHeight="1" s="7">
      <c r="A74" s="7" t="n"/>
      <c r="B74" s="13" t="n">
        <v>70</v>
      </c>
      <c r="C74" s="57" t="n"/>
      <c r="D74" s="51" t="n"/>
      <c r="E74" s="32" t="n"/>
      <c r="F74" s="30" t="n"/>
      <c r="G74" s="55">
        <f>F74/0.01</f>
        <v/>
      </c>
      <c r="H74" s="55">
        <f>G74*1.01</f>
        <v/>
      </c>
      <c r="I74" s="30" t="n"/>
      <c r="J74" s="55">
        <f>I74/0.08</f>
        <v/>
      </c>
      <c r="K74" s="55">
        <f>J74*1.08</f>
        <v/>
      </c>
      <c r="L74" s="30" t="n"/>
      <c r="M74" s="55">
        <f>L74/0.18</f>
        <v/>
      </c>
      <c r="N74" s="55">
        <f>M74*1.18</f>
        <v/>
      </c>
      <c r="O74" s="31">
        <f>G74+J74+M74</f>
        <v/>
      </c>
      <c r="P74" s="31">
        <f>H74+K74+N74</f>
        <v/>
      </c>
    </row>
    <row r="75" ht="12" customFormat="1" customHeight="1" s="7">
      <c r="A75" s="7" t="n"/>
      <c r="B75" s="13" t="n">
        <v>71</v>
      </c>
      <c r="C75" s="57" t="n"/>
      <c r="D75" s="51" t="n"/>
      <c r="E75" s="32" t="n"/>
      <c r="F75" s="30" t="n"/>
      <c r="G75" s="55">
        <f>F75/0.01</f>
        <v/>
      </c>
      <c r="H75" s="55">
        <f>G75*1.01</f>
        <v/>
      </c>
      <c r="I75" s="30" t="n"/>
      <c r="J75" s="55">
        <f>I75/0.08</f>
        <v/>
      </c>
      <c r="K75" s="55">
        <f>J75*1.08</f>
        <v/>
      </c>
      <c r="L75" s="30" t="n"/>
      <c r="M75" s="55">
        <f>L75/0.18</f>
        <v/>
      </c>
      <c r="N75" s="55">
        <f>M75*1.18</f>
        <v/>
      </c>
      <c r="O75" s="31">
        <f>G75+J75+M75</f>
        <v/>
      </c>
      <c r="P75" s="31">
        <f>H75+K75+N75</f>
        <v/>
      </c>
    </row>
    <row r="76" ht="12" customFormat="1" customHeight="1" s="7">
      <c r="A76" s="7" t="n"/>
      <c r="B76" s="13" t="n">
        <v>72</v>
      </c>
      <c r="C76" s="57" t="n"/>
      <c r="D76" s="51" t="n"/>
      <c r="E76" s="32" t="n"/>
      <c r="F76" s="30" t="n"/>
      <c r="G76" s="55">
        <f>F76/0.01</f>
        <v/>
      </c>
      <c r="H76" s="55">
        <f>G76*1.01</f>
        <v/>
      </c>
      <c r="I76" s="30" t="n"/>
      <c r="J76" s="55">
        <f>I76/0.08</f>
        <v/>
      </c>
      <c r="K76" s="55">
        <f>J76*1.08</f>
        <v/>
      </c>
      <c r="L76" s="30" t="n"/>
      <c r="M76" s="55">
        <f>L76/0.18</f>
        <v/>
      </c>
      <c r="N76" s="55">
        <f>M76*1.18</f>
        <v/>
      </c>
      <c r="O76" s="31">
        <f>G76+J76+M76</f>
        <v/>
      </c>
      <c r="P76" s="31">
        <f>H76+K76+N76</f>
        <v/>
      </c>
    </row>
    <row r="77" ht="12" customFormat="1" customHeight="1" s="7">
      <c r="A77" s="7" t="n"/>
      <c r="B77" s="13" t="n">
        <v>73</v>
      </c>
      <c r="C77" s="57" t="n"/>
      <c r="D77" s="51" t="n"/>
      <c r="E77" s="32" t="n"/>
      <c r="F77" s="30" t="n"/>
      <c r="G77" s="55">
        <f>F77/0.01</f>
        <v/>
      </c>
      <c r="H77" s="55">
        <f>G77*1.01</f>
        <v/>
      </c>
      <c r="I77" s="30" t="n"/>
      <c r="J77" s="55">
        <f>I77/0.08</f>
        <v/>
      </c>
      <c r="K77" s="55">
        <f>J77*1.08</f>
        <v/>
      </c>
      <c r="L77" s="30" t="n"/>
      <c r="M77" s="55">
        <f>L77/0.18</f>
        <v/>
      </c>
      <c r="N77" s="55">
        <f>M77*1.18</f>
        <v/>
      </c>
      <c r="O77" s="31">
        <f>G77+J77+M77</f>
        <v/>
      </c>
      <c r="P77" s="31">
        <f>H77+K77+N77</f>
        <v/>
      </c>
    </row>
    <row r="78" ht="12" customFormat="1" customHeight="1" s="7">
      <c r="A78" s="7" t="n"/>
      <c r="B78" s="13" t="n">
        <v>74</v>
      </c>
      <c r="C78" s="57" t="n"/>
      <c r="D78" s="51" t="n"/>
      <c r="E78" s="32" t="n"/>
      <c r="F78" s="30" t="n"/>
      <c r="G78" s="55">
        <f>F78/0.01</f>
        <v/>
      </c>
      <c r="H78" s="55">
        <f>G78*1.01</f>
        <v/>
      </c>
      <c r="I78" s="30" t="n"/>
      <c r="J78" s="55">
        <f>I78/0.08</f>
        <v/>
      </c>
      <c r="K78" s="55">
        <f>J78*1.08</f>
        <v/>
      </c>
      <c r="L78" s="30" t="n"/>
      <c r="M78" s="55">
        <f>L78/0.18</f>
        <v/>
      </c>
      <c r="N78" s="55">
        <f>M78*1.18</f>
        <v/>
      </c>
      <c r="O78" s="31">
        <f>G78+J78+M78</f>
        <v/>
      </c>
      <c r="P78" s="31">
        <f>H78+K78+N78</f>
        <v/>
      </c>
    </row>
    <row r="79" ht="12" customFormat="1" customHeight="1" s="7">
      <c r="A79" s="7" t="n"/>
      <c r="B79" s="13" t="n">
        <v>75</v>
      </c>
      <c r="C79" s="57" t="n"/>
      <c r="D79" s="51" t="n"/>
      <c r="E79" s="32" t="n"/>
      <c r="F79" s="30" t="n"/>
      <c r="G79" s="55">
        <f>F79/0.01</f>
        <v/>
      </c>
      <c r="H79" s="55">
        <f>G79*1.01</f>
        <v/>
      </c>
      <c r="I79" s="30" t="n"/>
      <c r="J79" s="55">
        <f>I79/0.08</f>
        <v/>
      </c>
      <c r="K79" s="55">
        <f>J79*1.08</f>
        <v/>
      </c>
      <c r="L79" s="30" t="n"/>
      <c r="M79" s="55">
        <f>L79/0.18</f>
        <v/>
      </c>
      <c r="N79" s="55">
        <f>M79*1.18</f>
        <v/>
      </c>
      <c r="O79" s="31">
        <f>G79+J79+M79</f>
        <v/>
      </c>
      <c r="P79" s="31">
        <f>H79+K79+N79</f>
        <v/>
      </c>
    </row>
    <row r="80" ht="12" customFormat="1" customHeight="1" s="7">
      <c r="A80" s="7" t="n"/>
      <c r="B80" s="13" t="n">
        <v>76</v>
      </c>
      <c r="C80" s="57" t="n"/>
      <c r="D80" s="51" t="n"/>
      <c r="E80" s="32" t="n"/>
      <c r="F80" s="30" t="n"/>
      <c r="G80" s="55">
        <f>F80/0.01</f>
        <v/>
      </c>
      <c r="H80" s="55">
        <f>G80*1.01</f>
        <v/>
      </c>
      <c r="I80" s="30" t="n"/>
      <c r="J80" s="55">
        <f>I80/0.08</f>
        <v/>
      </c>
      <c r="K80" s="55">
        <f>J80*1.08</f>
        <v/>
      </c>
      <c r="L80" s="30" t="n"/>
      <c r="M80" s="55">
        <f>L80/0.18</f>
        <v/>
      </c>
      <c r="N80" s="55">
        <f>M80*1.18</f>
        <v/>
      </c>
      <c r="O80" s="31">
        <f>G80+J80+M80</f>
        <v/>
      </c>
      <c r="P80" s="31">
        <f>H80+K80+N80</f>
        <v/>
      </c>
    </row>
    <row r="81" ht="12" customFormat="1" customHeight="1" s="7">
      <c r="A81" s="7" t="n"/>
      <c r="B81" s="13" t="n">
        <v>77</v>
      </c>
      <c r="C81" s="57" t="n"/>
      <c r="D81" s="51" t="n"/>
      <c r="E81" s="32" t="n"/>
      <c r="F81" s="30" t="n"/>
      <c r="G81" s="55">
        <f>F81/0.01</f>
        <v/>
      </c>
      <c r="H81" s="55">
        <f>G81*1.01</f>
        <v/>
      </c>
      <c r="I81" s="30" t="n"/>
      <c r="J81" s="55">
        <f>I81/0.08</f>
        <v/>
      </c>
      <c r="K81" s="55">
        <f>J81*1.08</f>
        <v/>
      </c>
      <c r="L81" s="30" t="n"/>
      <c r="M81" s="55">
        <f>L81/0.18</f>
        <v/>
      </c>
      <c r="N81" s="55">
        <f>M81*1.18</f>
        <v/>
      </c>
      <c r="O81" s="31">
        <f>G81+J81+M81</f>
        <v/>
      </c>
      <c r="P81" s="31">
        <f>H81+K81+N81</f>
        <v/>
      </c>
    </row>
    <row r="82" ht="12" customFormat="1" customHeight="1" s="7">
      <c r="A82" s="7" t="n"/>
      <c r="B82" s="13" t="n">
        <v>78</v>
      </c>
      <c r="C82" s="57" t="n"/>
      <c r="D82" s="51" t="n"/>
      <c r="E82" s="32" t="n"/>
      <c r="F82" s="30" t="n"/>
      <c r="G82" s="55">
        <f>F82/0.01</f>
        <v/>
      </c>
      <c r="H82" s="55">
        <f>G82*1.01</f>
        <v/>
      </c>
      <c r="I82" s="30" t="n"/>
      <c r="J82" s="55">
        <f>I82/0.08</f>
        <v/>
      </c>
      <c r="K82" s="55">
        <f>J82*1.08</f>
        <v/>
      </c>
      <c r="L82" s="30" t="n"/>
      <c r="M82" s="55">
        <f>L82/0.18</f>
        <v/>
      </c>
      <c r="N82" s="55">
        <f>M82*1.18</f>
        <v/>
      </c>
      <c r="O82" s="31">
        <f>G82+J82+M82</f>
        <v/>
      </c>
      <c r="P82" s="31">
        <f>H82+K82+N82</f>
        <v/>
      </c>
    </row>
    <row r="83" ht="12" customFormat="1" customHeight="1" s="7">
      <c r="A83" s="7" t="n"/>
      <c r="B83" s="13" t="n">
        <v>79</v>
      </c>
      <c r="C83" s="57" t="n"/>
      <c r="D83" s="51" t="n"/>
      <c r="E83" s="32" t="n"/>
      <c r="F83" s="30" t="n"/>
      <c r="G83" s="55">
        <f>F83/0.01</f>
        <v/>
      </c>
      <c r="H83" s="55">
        <f>G83*1.01</f>
        <v/>
      </c>
      <c r="I83" s="30" t="n"/>
      <c r="J83" s="55">
        <f>I83/0.08</f>
        <v/>
      </c>
      <c r="K83" s="55">
        <f>J83*1.08</f>
        <v/>
      </c>
      <c r="L83" s="30" t="n"/>
      <c r="M83" s="55">
        <f>L83/0.18</f>
        <v/>
      </c>
      <c r="N83" s="55">
        <f>M83*1.18</f>
        <v/>
      </c>
      <c r="O83" s="31">
        <f>G83+J83+M83</f>
        <v/>
      </c>
      <c r="P83" s="31">
        <f>H83+K83+N83</f>
        <v/>
      </c>
    </row>
    <row r="84" ht="12" customFormat="1" customHeight="1" s="7">
      <c r="A84" s="7" t="n"/>
      <c r="B84" s="13" t="n">
        <v>80</v>
      </c>
      <c r="C84" s="57" t="n"/>
      <c r="D84" s="51" t="n"/>
      <c r="E84" s="32" t="n"/>
      <c r="F84" s="30" t="n"/>
      <c r="G84" s="55">
        <f>F84/0.01</f>
        <v/>
      </c>
      <c r="H84" s="55">
        <f>G84*1.01</f>
        <v/>
      </c>
      <c r="I84" s="30" t="n"/>
      <c r="J84" s="55">
        <f>I84/0.08</f>
        <v/>
      </c>
      <c r="K84" s="55">
        <f>J84*1.08</f>
        <v/>
      </c>
      <c r="L84" s="30" t="n"/>
      <c r="M84" s="55">
        <f>L84/0.18</f>
        <v/>
      </c>
      <c r="N84" s="55">
        <f>M84*1.18</f>
        <v/>
      </c>
      <c r="O84" s="31">
        <f>G84+J84+M84</f>
        <v/>
      </c>
      <c r="P84" s="31">
        <f>H84+K84+N84</f>
        <v/>
      </c>
    </row>
    <row r="85" ht="12.75" customFormat="1" customHeight="1" s="7" thickBot="1">
      <c r="A85" s="7" t="n"/>
      <c r="B85" s="33" t="n"/>
      <c r="C85" s="34" t="n"/>
      <c r="D85" s="35" t="n"/>
      <c r="E85" s="36" t="n"/>
      <c r="F85" s="56">
        <f>SUM(F5:F84)</f>
        <v/>
      </c>
      <c r="G85" s="56">
        <f>SUM(G5:G84)</f>
        <v/>
      </c>
      <c r="H85" s="56">
        <f>SUM(H5:H84)</f>
        <v/>
      </c>
      <c r="I85" s="56">
        <f>SUM(I5:I84)</f>
        <v/>
      </c>
      <c r="J85" s="56">
        <f>SUM(J5:J84)</f>
        <v/>
      </c>
      <c r="K85" s="56">
        <f>SUM(K5:K84)</f>
        <v/>
      </c>
      <c r="L85" s="56">
        <f>SUM(L5:L84)</f>
        <v/>
      </c>
      <c r="M85" s="56">
        <f>SUM(M5:M84)</f>
        <v/>
      </c>
      <c r="N85" s="56">
        <f>SUM(N5:N84)</f>
        <v/>
      </c>
      <c r="O85" s="56">
        <f>SUM(O5:O84)</f>
        <v/>
      </c>
      <c r="P85" s="56">
        <f>SUM(P5:P84)</f>
        <v/>
      </c>
    </row>
    <row r="91">
      <c r="E91" s="22" t="n"/>
    </row>
    <row r="93">
      <c r="G93" s="5" t="inlineStr">
        <is>
          <t xml:space="preserve"> </t>
        </is>
      </c>
    </row>
  </sheetData>
  <mergeCells count="4">
    <mergeCell ref="I3:K3"/>
    <mergeCell ref="F3:H3"/>
    <mergeCell ref="L3:N3"/>
    <mergeCell ref="O3:P3"/>
  </mergeCells>
  <pageMargins left="0.02362204724409449" right="0.2362204724409449" top="0.3937007874015748" bottom="0.2755905511811024" header="0.2362204724409449" footer="0.1574803149606299"/>
  <pageSetup orientation="portrait" paperSize="9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z-rapor-okuyucu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2026-10-19T07:47:53Z</dcterms:modified>
</cp:coreProperties>
</file>